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Volumes/HomeX/andres.lara/Documents/Fontur - MinCit/Indicadores KPIs/"/>
    </mc:Choice>
  </mc:AlternateContent>
  <xr:revisionPtr revIDLastSave="0" documentId="13_ncr:1_{03A6F846-A01F-1146-B26E-BBB6A35AE2D9}" xr6:coauthVersionLast="47" xr6:coauthVersionMax="47" xr10:uidLastSave="{00000000-0000-0000-0000-000000000000}"/>
  <bookViews>
    <workbookView xWindow="33800" yWindow="620" windowWidth="33840" windowHeight="28200" xr2:uid="{00000000-000D-0000-FFFF-FFFF00000000}"/>
  </bookViews>
  <sheets>
    <sheet name="Datos" sheetId="1" r:id="rId1"/>
    <sheet name="Curva_S" sheetId="2" r:id="rId2"/>
    <sheet name="Dashboard" sheetId="3" r:id="rId3"/>
    <sheet name="Hallazg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I16" i="3"/>
  <c r="I15" i="3"/>
  <c r="I14" i="3"/>
  <c r="I13" i="3"/>
  <c r="H16" i="3" a="1"/>
  <c r="H16" i="3" s="1"/>
  <c r="J16" i="3" s="1"/>
  <c r="H15" i="3" a="1"/>
  <c r="H15" i="3" s="1"/>
  <c r="J15" i="3" s="1"/>
  <c r="H14" i="3" a="1"/>
  <c r="H14" i="3" s="1"/>
  <c r="J14" i="3" s="1"/>
  <c r="H13" i="3" a="1"/>
  <c r="H13" i="3" s="1"/>
  <c r="J13" i="3" s="1"/>
  <c r="I12" i="3"/>
  <c r="I11" i="3"/>
  <c r="I10" i="3"/>
  <c r="I9" i="3"/>
  <c r="I8" i="3"/>
  <c r="I7" i="3"/>
  <c r="J8" i="3"/>
  <c r="J9" i="3"/>
  <c r="J10" i="3"/>
  <c r="J11" i="3"/>
  <c r="J12" i="3"/>
  <c r="J7" i="3"/>
  <c r="H12" i="3" a="1"/>
  <c r="H12" i="3" s="1"/>
  <c r="H11" i="3" a="1"/>
  <c r="H11" i="3" s="1"/>
  <c r="H10" i="3" a="1"/>
  <c r="H10" i="3" s="1"/>
  <c r="H9" i="3" a="1"/>
  <c r="H9" i="3" s="1"/>
  <c r="H8" i="3" a="1"/>
  <c r="H8" i="3" s="1"/>
  <c r="H7" i="3" a="1"/>
  <c r="H7" i="3" s="1"/>
  <c r="D14" i="2"/>
  <c r="F14" i="2" s="1"/>
  <c r="C14" i="2"/>
  <c r="D13" i="2"/>
  <c r="F13" i="2" s="1"/>
  <c r="C13" i="2"/>
  <c r="F12" i="2"/>
  <c r="E12" i="2"/>
  <c r="D12" i="2"/>
  <c r="C12" i="2"/>
  <c r="D11" i="2"/>
  <c r="F11" i="2" s="1"/>
  <c r="C11" i="2"/>
  <c r="F10" i="2"/>
  <c r="D10" i="2"/>
  <c r="E10" i="2" s="1"/>
  <c r="C10" i="2"/>
  <c r="D9" i="2"/>
  <c r="F9" i="2" s="1"/>
  <c r="C9" i="2"/>
  <c r="D8" i="2"/>
  <c r="C8" i="2"/>
  <c r="E7" i="2"/>
  <c r="F7" i="2" s="1"/>
  <c r="C7" i="2"/>
  <c r="C6" i="2"/>
  <c r="E5" i="2"/>
  <c r="F5" i="2" s="1"/>
  <c r="C5" i="2"/>
  <c r="E4" i="2"/>
  <c r="F4" i="2" s="1"/>
  <c r="C4" i="2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F29" i="3" s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G28" i="3" s="1"/>
  <c r="I157" i="1"/>
  <c r="F28" i="3" s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F27" i="3" s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G131" i="1"/>
  <c r="F131" i="1"/>
  <c r="E131" i="1"/>
  <c r="G130" i="1"/>
  <c r="F130" i="1"/>
  <c r="E130" i="1"/>
  <c r="G129" i="1"/>
  <c r="F129" i="1"/>
  <c r="E129" i="1"/>
  <c r="K23" i="3" s="1"/>
  <c r="G128" i="1"/>
  <c r="F128" i="1"/>
  <c r="E128" i="1"/>
  <c r="J23" i="3" s="1"/>
  <c r="G127" i="1"/>
  <c r="F127" i="1"/>
  <c r="E127" i="1"/>
  <c r="G126" i="1"/>
  <c r="F126" i="1"/>
  <c r="E126" i="1"/>
  <c r="H23" i="3" s="1"/>
  <c r="F125" i="1"/>
  <c r="E125" i="1"/>
  <c r="G23" i="3" s="1"/>
  <c r="F124" i="1"/>
  <c r="E124" i="1"/>
  <c r="F23" i="3" s="1"/>
  <c r="F123" i="1"/>
  <c r="E123" i="1"/>
  <c r="E23" i="3" s="1"/>
  <c r="G122" i="1"/>
  <c r="F122" i="1"/>
  <c r="E122" i="1"/>
  <c r="F121" i="1"/>
  <c r="E121" i="1"/>
  <c r="G121" i="1" s="1"/>
  <c r="J114" i="1"/>
  <c r="K114" i="1" s="1"/>
  <c r="L114" i="1" s="1"/>
  <c r="J113" i="1"/>
  <c r="K113" i="1" s="1"/>
  <c r="L113" i="1" s="1"/>
  <c r="J112" i="1"/>
  <c r="K112" i="1" s="1"/>
  <c r="L112" i="1" s="1"/>
  <c r="K111" i="1"/>
  <c r="L111" i="1" s="1"/>
  <c r="J111" i="1"/>
  <c r="J110" i="1"/>
  <c r="K110" i="1" s="1"/>
  <c r="L110" i="1" s="1"/>
  <c r="J109" i="1"/>
  <c r="K109" i="1" s="1"/>
  <c r="L109" i="1" s="1"/>
  <c r="J108" i="1"/>
  <c r="K108" i="1" s="1"/>
  <c r="L108" i="1" s="1"/>
  <c r="J107" i="1"/>
  <c r="K107" i="1" s="1"/>
  <c r="L107" i="1" s="1"/>
  <c r="K106" i="1"/>
  <c r="L106" i="1" s="1"/>
  <c r="J106" i="1"/>
  <c r="K105" i="1"/>
  <c r="L105" i="1" s="1"/>
  <c r="J105" i="1"/>
  <c r="J104" i="1"/>
  <c r="G16" i="3" s="1"/>
  <c r="J103" i="1"/>
  <c r="K103" i="1" s="1"/>
  <c r="L103" i="1" s="1"/>
  <c r="J102" i="1"/>
  <c r="K102" i="1" s="1"/>
  <c r="L102" i="1" s="1"/>
  <c r="K101" i="1"/>
  <c r="L101" i="1" s="1"/>
  <c r="J101" i="1"/>
  <c r="J100" i="1"/>
  <c r="K100" i="1" s="1"/>
  <c r="L100" i="1" s="1"/>
  <c r="J99" i="1"/>
  <c r="K99" i="1" s="1"/>
  <c r="L99" i="1" s="1"/>
  <c r="J98" i="1"/>
  <c r="K98" i="1" s="1"/>
  <c r="L98" i="1" s="1"/>
  <c r="J97" i="1"/>
  <c r="K97" i="1" s="1"/>
  <c r="L97" i="1" s="1"/>
  <c r="K96" i="1"/>
  <c r="L96" i="1" s="1"/>
  <c r="J96" i="1"/>
  <c r="K95" i="1"/>
  <c r="L95" i="1" s="1"/>
  <c r="J95" i="1"/>
  <c r="J94" i="1"/>
  <c r="K94" i="1" s="1"/>
  <c r="L94" i="1" s="1"/>
  <c r="J93" i="1"/>
  <c r="K93" i="1" s="1"/>
  <c r="J92" i="1"/>
  <c r="K92" i="1" s="1"/>
  <c r="L92" i="1" s="1"/>
  <c r="K91" i="1"/>
  <c r="L91" i="1" s="1"/>
  <c r="J91" i="1"/>
  <c r="J90" i="1"/>
  <c r="K90" i="1" s="1"/>
  <c r="L90" i="1" s="1"/>
  <c r="J89" i="1"/>
  <c r="K89" i="1" s="1"/>
  <c r="L89" i="1" s="1"/>
  <c r="J88" i="1"/>
  <c r="K88" i="1" s="1"/>
  <c r="L88" i="1" s="1"/>
  <c r="J87" i="1"/>
  <c r="K87" i="1" s="1"/>
  <c r="L87" i="1" s="1"/>
  <c r="K86" i="1"/>
  <c r="L86" i="1" s="1"/>
  <c r="J86" i="1"/>
  <c r="K85" i="1"/>
  <c r="L85" i="1" s="1"/>
  <c r="J85" i="1"/>
  <c r="J84" i="1"/>
  <c r="K84" i="1" s="1"/>
  <c r="L84" i="1" s="1"/>
  <c r="J83" i="1"/>
  <c r="K83" i="1" s="1"/>
  <c r="L83" i="1" s="1"/>
  <c r="J82" i="1"/>
  <c r="K82" i="1" s="1"/>
  <c r="K81" i="1"/>
  <c r="L81" i="1" s="1"/>
  <c r="J81" i="1"/>
  <c r="J80" i="1"/>
  <c r="K80" i="1" s="1"/>
  <c r="L80" i="1" s="1"/>
  <c r="J79" i="1"/>
  <c r="K79" i="1" s="1"/>
  <c r="L79" i="1" s="1"/>
  <c r="J78" i="1"/>
  <c r="K78" i="1" s="1"/>
  <c r="L78" i="1" s="1"/>
  <c r="J77" i="1"/>
  <c r="K77" i="1" s="1"/>
  <c r="L77" i="1" s="1"/>
  <c r="K76" i="1"/>
  <c r="L76" i="1" s="1"/>
  <c r="J76" i="1"/>
  <c r="K75" i="1"/>
  <c r="L75" i="1" s="1"/>
  <c r="J75" i="1"/>
  <c r="J74" i="1"/>
  <c r="K74" i="1" s="1"/>
  <c r="L74" i="1" s="1"/>
  <c r="J73" i="1"/>
  <c r="K73" i="1" s="1"/>
  <c r="L73" i="1" s="1"/>
  <c r="J72" i="1"/>
  <c r="K72" i="1" s="1"/>
  <c r="L72" i="1" s="1"/>
  <c r="K71" i="1"/>
  <c r="L71" i="1" s="1"/>
  <c r="J71" i="1"/>
  <c r="J70" i="1"/>
  <c r="K70" i="1" s="1"/>
  <c r="L70" i="1" s="1"/>
  <c r="J69" i="1"/>
  <c r="K69" i="1" s="1"/>
  <c r="L69" i="1" s="1"/>
  <c r="J68" i="1"/>
  <c r="K68" i="1" s="1"/>
  <c r="L68" i="1" s="1"/>
  <c r="J67" i="1"/>
  <c r="K67" i="1" s="1"/>
  <c r="L67" i="1" s="1"/>
  <c r="K66" i="1"/>
  <c r="L66" i="1" s="1"/>
  <c r="J66" i="1"/>
  <c r="K65" i="1"/>
  <c r="L65" i="1" s="1"/>
  <c r="J65" i="1"/>
  <c r="J64" i="1"/>
  <c r="K64" i="1" s="1"/>
  <c r="L64" i="1" s="1"/>
  <c r="J63" i="1"/>
  <c r="K63" i="1" s="1"/>
  <c r="L63" i="1" s="1"/>
  <c r="J62" i="1"/>
  <c r="K62" i="1" s="1"/>
  <c r="L62" i="1" s="1"/>
  <c r="K61" i="1"/>
  <c r="L61" i="1" s="1"/>
  <c r="J61" i="1"/>
  <c r="J60" i="1"/>
  <c r="K60" i="1" s="1"/>
  <c r="J59" i="1"/>
  <c r="K59" i="1" s="1"/>
  <c r="L59" i="1" s="1"/>
  <c r="J58" i="1"/>
  <c r="K58" i="1" s="1"/>
  <c r="L58" i="1" s="1"/>
  <c r="J57" i="1"/>
  <c r="K57" i="1" s="1"/>
  <c r="L57" i="1" s="1"/>
  <c r="K56" i="1"/>
  <c r="L56" i="1" s="1"/>
  <c r="J56" i="1"/>
  <c r="K55" i="1"/>
  <c r="L55" i="1" s="1"/>
  <c r="J55" i="1"/>
  <c r="J54" i="1"/>
  <c r="K54" i="1" s="1"/>
  <c r="L54" i="1" s="1"/>
  <c r="J53" i="1"/>
  <c r="K53" i="1" s="1"/>
  <c r="L53" i="1" s="1"/>
  <c r="J52" i="1"/>
  <c r="K52" i="1" s="1"/>
  <c r="L52" i="1" s="1"/>
  <c r="K51" i="1"/>
  <c r="L51" i="1" s="1"/>
  <c r="J51" i="1"/>
  <c r="J50" i="1"/>
  <c r="K50" i="1" s="1"/>
  <c r="L50" i="1" s="1"/>
  <c r="J49" i="1"/>
  <c r="G11" i="3" s="1"/>
  <c r="J48" i="1"/>
  <c r="K48" i="1" s="1"/>
  <c r="L48" i="1" s="1"/>
  <c r="J47" i="1"/>
  <c r="K47" i="1" s="1"/>
  <c r="L47" i="1" s="1"/>
  <c r="K46" i="1"/>
  <c r="L46" i="1" s="1"/>
  <c r="J46" i="1"/>
  <c r="K45" i="1"/>
  <c r="L45" i="1" s="1"/>
  <c r="J45" i="1"/>
  <c r="J44" i="1"/>
  <c r="K44" i="1" s="1"/>
  <c r="L44" i="1" s="1"/>
  <c r="J43" i="1"/>
  <c r="K43" i="1" s="1"/>
  <c r="L43" i="1" s="1"/>
  <c r="J42" i="1"/>
  <c r="K42" i="1" s="1"/>
  <c r="L42" i="1" s="1"/>
  <c r="K41" i="1"/>
  <c r="L41" i="1" s="1"/>
  <c r="J41" i="1"/>
  <c r="J40" i="1"/>
  <c r="K40" i="1" s="1"/>
  <c r="L40" i="1" s="1"/>
  <c r="J39" i="1"/>
  <c r="K39" i="1" s="1"/>
  <c r="L39" i="1" s="1"/>
  <c r="J38" i="1"/>
  <c r="K38" i="1" s="1"/>
  <c r="J37" i="1"/>
  <c r="K37" i="1" s="1"/>
  <c r="L37" i="1" s="1"/>
  <c r="K36" i="1"/>
  <c r="L36" i="1" s="1"/>
  <c r="J36" i="1"/>
  <c r="K35" i="1"/>
  <c r="L35" i="1" s="1"/>
  <c r="J35" i="1"/>
  <c r="J34" i="1"/>
  <c r="K34" i="1" s="1"/>
  <c r="L34" i="1" s="1"/>
  <c r="J33" i="1"/>
  <c r="K33" i="1" s="1"/>
  <c r="L33" i="1" s="1"/>
  <c r="J32" i="1"/>
  <c r="K32" i="1" s="1"/>
  <c r="L32" i="1" s="1"/>
  <c r="K31" i="1"/>
  <c r="L31" i="1" s="1"/>
  <c r="J31" i="1"/>
  <c r="J30" i="1"/>
  <c r="K30" i="1" s="1"/>
  <c r="L30" i="1" s="1"/>
  <c r="J29" i="1"/>
  <c r="K29" i="1" s="1"/>
  <c r="L29" i="1" s="1"/>
  <c r="J28" i="1"/>
  <c r="K28" i="1" s="1"/>
  <c r="L28" i="1" s="1"/>
  <c r="J27" i="1"/>
  <c r="K27" i="1" s="1"/>
  <c r="K26" i="1"/>
  <c r="L26" i="1" s="1"/>
  <c r="J26" i="1"/>
  <c r="K25" i="1"/>
  <c r="L25" i="1" s="1"/>
  <c r="J25" i="1"/>
  <c r="J24" i="1"/>
  <c r="K24" i="1" s="1"/>
  <c r="L24" i="1" s="1"/>
  <c r="J23" i="1"/>
  <c r="K23" i="1" s="1"/>
  <c r="L23" i="1" s="1"/>
  <c r="J22" i="1"/>
  <c r="K22" i="1" s="1"/>
  <c r="L22" i="1" s="1"/>
  <c r="K21" i="1"/>
  <c r="L21" i="1" s="1"/>
  <c r="J21" i="1"/>
  <c r="J20" i="1"/>
  <c r="K20" i="1" s="1"/>
  <c r="L20" i="1" s="1"/>
  <c r="J19" i="1"/>
  <c r="K19" i="1" s="1"/>
  <c r="L19" i="1" s="1"/>
  <c r="J18" i="1"/>
  <c r="K18" i="1" s="1"/>
  <c r="L18" i="1" s="1"/>
  <c r="J17" i="1"/>
  <c r="K17" i="1" s="1"/>
  <c r="L17" i="1" s="1"/>
  <c r="K16" i="1"/>
  <c r="J16" i="1"/>
  <c r="K15" i="1"/>
  <c r="L15" i="1" s="1"/>
  <c r="J15" i="1"/>
  <c r="J14" i="1"/>
  <c r="K14" i="1" s="1"/>
  <c r="L14" i="1" s="1"/>
  <c r="J13" i="1"/>
  <c r="K13" i="1" s="1"/>
  <c r="L13" i="1" s="1"/>
  <c r="J12" i="1"/>
  <c r="K12" i="1" s="1"/>
  <c r="L12" i="1" s="1"/>
  <c r="K11" i="1"/>
  <c r="L11" i="1" s="1"/>
  <c r="J11" i="1"/>
  <c r="J10" i="1"/>
  <c r="K10" i="1" s="1"/>
  <c r="L10" i="1" s="1"/>
  <c r="J9" i="1"/>
  <c r="K9" i="1" s="1"/>
  <c r="L9" i="1" s="1"/>
  <c r="J8" i="1"/>
  <c r="K8" i="1" s="1"/>
  <c r="L8" i="1" s="1"/>
  <c r="J7" i="1"/>
  <c r="K7" i="1" s="1"/>
  <c r="L7" i="1" s="1"/>
  <c r="K6" i="1"/>
  <c r="L6" i="1" s="1"/>
  <c r="J6" i="1"/>
  <c r="K5" i="1"/>
  <c r="J5" i="1"/>
  <c r="G30" i="3"/>
  <c r="F30" i="3"/>
  <c r="E30" i="3"/>
  <c r="D30" i="3"/>
  <c r="C30" i="3"/>
  <c r="B30" i="3"/>
  <c r="G29" i="3"/>
  <c r="E29" i="3"/>
  <c r="D29" i="3"/>
  <c r="C29" i="3"/>
  <c r="B29" i="3"/>
  <c r="E28" i="3"/>
  <c r="D28" i="3"/>
  <c r="C28" i="3"/>
  <c r="B28" i="3"/>
  <c r="G27" i="3"/>
  <c r="E27" i="3"/>
  <c r="D27" i="3"/>
  <c r="C27" i="3"/>
  <c r="B27" i="3"/>
  <c r="M23" i="3"/>
  <c r="L23" i="3"/>
  <c r="I23" i="3"/>
  <c r="D23" i="3"/>
  <c r="C23" i="3"/>
  <c r="M22" i="3"/>
  <c r="L22" i="3"/>
  <c r="K22" i="3"/>
  <c r="J22" i="3"/>
  <c r="I22" i="3"/>
  <c r="H22" i="3"/>
  <c r="G22" i="3"/>
  <c r="F22" i="3"/>
  <c r="E22" i="3"/>
  <c r="D22" i="3"/>
  <c r="C22" i="3"/>
  <c r="M21" i="3"/>
  <c r="L21" i="3"/>
  <c r="K21" i="3"/>
  <c r="J21" i="3"/>
  <c r="I21" i="3"/>
  <c r="H21" i="3"/>
  <c r="G21" i="3"/>
  <c r="F21" i="3"/>
  <c r="E21" i="3"/>
  <c r="D21" i="3"/>
  <c r="C21" i="3"/>
  <c r="F16" i="3"/>
  <c r="E16" i="3"/>
  <c r="D16" i="3"/>
  <c r="C16" i="3"/>
  <c r="B16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124" i="1" l="1"/>
  <c r="G125" i="1"/>
  <c r="E6" i="2"/>
  <c r="F6" i="2" s="1"/>
  <c r="L38" i="1"/>
  <c r="L93" i="1"/>
  <c r="F8" i="2"/>
  <c r="L60" i="1"/>
  <c r="L27" i="1"/>
  <c r="L82" i="1"/>
  <c r="G15" i="3"/>
  <c r="L5" i="1"/>
  <c r="K49" i="1"/>
  <c r="L16" i="1"/>
  <c r="E8" i="2"/>
  <c r="E13" i="2"/>
  <c r="E11" i="2"/>
  <c r="G12" i="3"/>
  <c r="K104" i="1"/>
  <c r="G123" i="1"/>
  <c r="E9" i="2"/>
  <c r="E14" i="2"/>
  <c r="L104" i="1" l="1"/>
  <c r="L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<sst xmlns="http://schemas.openxmlformats.org/spreadsheetml/2006/main" count="978" uniqueCount="154">
  <si>
    <t>TABLERO DE CONTROL EJECUTIVO — FNTC-161-2026  |  Patrimonio Autónomo FONTUR</t>
  </si>
  <si>
    <t>Proyecto FNTP-2025-264  ·  Oct-25 – Ago-26  ·  Contrato: Feb–Dic 2026</t>
  </si>
  <si>
    <t>GESTIÓN POR ACTIVIDAD — % Desempeño vs. Meta Proporcional al Mes</t>
  </si>
  <si>
    <t>Cód.</t>
  </si>
  <si>
    <t>Indicador / Actividad</t>
  </si>
  <si>
    <t>Unidad</t>
  </si>
  <si>
    <t>Meta Total</t>
  </si>
  <si>
    <t>Meta Acum.</t>
  </si>
  <si>
    <t>Último Acum.</t>
  </si>
  <si>
    <t>% Desempeño</t>
  </si>
  <si>
    <t>Estado</t>
  </si>
  <si>
    <t>CURVA-S — EJECUCIÓN PRESUPUESTAL P264  |  Oct-25–Ago-26  |  Feb-26=Mes5 (45.1%)</t>
  </si>
  <si>
    <t>Concepto</t>
  </si>
  <si>
    <t>Oct-25</t>
  </si>
  <si>
    <t>Nov-25</t>
  </si>
  <si>
    <t>Dic-25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</si>
  <si>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</si>
  <si>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</si>
  <si>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</si>
  <si>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</si>
  <si>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</si>
  <si>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</si>
  <si>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</si>
  <si>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</si>
  <si>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Ref.</t>
  </si>
  <si>
    <t>Programado</t>
  </si>
  <si>
    <t>→ Datos §B</t>
  </si>
  <si>
    <t>Real P264</t>
  </si>
  <si>
    <t>Desviación</t>
  </si>
  <si>
    <t>INDICADORES DE RESULTADO — Impacto Estratégico Campaña Colombia El País De La Belleza</t>
  </si>
  <si>
    <t>Indicador de Resultado</t>
  </si>
  <si>
    <t>Meta</t>
  </si>
  <si>
    <t>% Avance</t>
  </si>
  <si>
    <t>LEYENDA SEMÁFORO</t>
  </si>
  <si>
    <t>🟢 CUMPLE ≥ 95%</t>
  </si>
  <si>
    <t>🟡 Observación 80–94%</t>
  </si>
  <si>
    <t>🔴 Crítico &lt; 80%</t>
  </si>
  <si>
    <t>⚠  Datos en hoja 'Datos': Sec.A col I (valor real por IG×mes) | Sec.B fila Real P264 | Sec.C col H (valor IR×mes). % Desempeño = Real / Meta Acum. Mes × 100 (meta proporcional al mes, no la meta total).</t>
  </si>
  <si>
    <t>PLANILLA SEGUIMIENTO — FNTC-161-2026  |  Feb–Dic 2026  |  Ingresar valores REALES en columna I (IGs) y columna H (IRs) — celdas azules</t>
  </si>
  <si>
    <t>SECCIÓN A — INDICADORES DE GESTIÓN POR ACTIVIDAD  |  Ingresar valor acumulado real en col I por cada período</t>
  </si>
  <si>
    <t>Aspecto a Desarrollar</t>
  </si>
  <si>
    <t>Meta Acum. Mes</t>
  </si>
  <si>
    <t>Período</t>
  </si>
  <si>
    <t>Mes #</t>
  </si>
  <si>
    <t>Valor Real</t>
  </si>
  <si>
    <t>Semáforo</t>
  </si>
  <si>
    <t>IG-01</t>
  </si>
  <si>
    <t>Diseño Material Gráfico</t>
  </si>
  <si>
    <t>1.1 — Diseño y desarrollo de piezas para campaña Colombia El País De La Belleza</t>
  </si>
  <si>
    <t>% Presup. Ejecutado</t>
  </si>
  <si>
    <t>Sep-26</t>
  </si>
  <si>
    <t>Oct-26</t>
  </si>
  <si>
    <t>Nov-26</t>
  </si>
  <si>
    <t>Dic-26</t>
  </si>
  <si>
    <t>IG-02</t>
  </si>
  <si>
    <t>Ejecución Pauta</t>
  </si>
  <si>
    <t>1.2 — Estrategias en canales digitales, medios tradicionales y alternativos</t>
  </si>
  <si>
    <t>IG-03</t>
  </si>
  <si>
    <t>Actividades BTL</t>
  </si>
  <si>
    <t>1.3 — Promoción de destinos y productos según estrategia de marca (≥32 activaciones)</t>
  </si>
  <si>
    <t>IG-04</t>
  </si>
  <si>
    <t>Material Promocional POP</t>
  </si>
  <si>
    <t>1.4 — Producción y distribución de material POP bajo lineamientos MinCIT</t>
  </si>
  <si>
    <t>IG-05</t>
  </si>
  <si>
    <t>Viajes de Familiarización</t>
  </si>
  <si>
    <t>1.5 — Logística para prensa e influenciadores (≥12 viajes de familiarización)</t>
  </si>
  <si>
    <t>IG-06</t>
  </si>
  <si>
    <t>Embajadores de Marca</t>
  </si>
  <si>
    <t>1.6 — Selección y seguimiento de hasta 6 embajadores regionales (1 por macrorregión)</t>
  </si>
  <si>
    <t>Emb. Vinculados / 6</t>
  </si>
  <si>
    <t>IG-07</t>
  </si>
  <si>
    <t>Plataforma IA</t>
  </si>
  <si>
    <t>1.7 — Implementación embajador digital IA para personalización de contenidos</t>
  </si>
  <si>
    <t>% Avance desarrollo</t>
  </si>
  <si>
    <t>IG-08</t>
  </si>
  <si>
    <t>Macro Ruedas de Negocio</t>
  </si>
  <si>
    <t>2.1 — Logística para 6 macro ruedas de negocio (una por macrorregión)</t>
  </si>
  <si>
    <t>Eventos Realizados / 6</t>
  </si>
  <si>
    <t>IG-09</t>
  </si>
  <si>
    <t>Estudio de Impacto</t>
  </si>
  <si>
    <t>3.1 — Medición de la campaña en prestadores de servicios turísticos y turistas</t>
  </si>
  <si>
    <t>% Etapas completadas</t>
  </si>
  <si>
    <t>IG-10</t>
  </si>
  <si>
    <t>Personal de Seguimiento</t>
  </si>
  <si>
    <t>4.1 — Contratación equipo jurídico, técnico y de gestión (informes aprobados / 11)</t>
  </si>
  <si>
    <t>Informes Aprobados / 11</t>
  </si>
  <si>
    <t>SECCIÓN B — CURVA-S  |  Avance Ejecución Presupuestal FNTP-2025-264  |  Horizonte: Oct-25 – Ago-26 (11 meses)  |  Feb-26 = Mes 5 del proyecto</t>
  </si>
  <si>
    <t>Presupuesto Total P264 (COP) →</t>
  </si>
  <si>
    <t>Ingresar Presupuesto Total en C arriba — Monto COP se calcula automáticamente</t>
  </si>
  <si>
    <t>Mes P264</t>
  </si>
  <si>
    <t>% Programado</t>
  </si>
  <si>
    <t>% Real Ejecutado</t>
  </si>
  <si>
    <t>Desviación (pp)</t>
  </si>
  <si>
    <t>Monto Ejec. Acum. COP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</si>
  <si>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</si>
  <si>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</si>
  <si>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</si>
  <si>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</si>
  <si>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</si>
  <si>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</si>
  <si>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</si>
  <si>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</si>
  <si>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</si>
  <si>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</si>
  <si>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</si>
  <si>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SECCIÓN C — INDICADORES DE RESULTADO  |  Impacto Estratégico Campaña "Colombia El País De La Belleza"  |  Registrar acumulado mensual al corte</t>
  </si>
  <si>
    <t>Definición</t>
  </si>
  <si>
    <t>Valor Acum. (al corte)</t>
  </si>
  <si>
    <t>Fuente / Verificación</t>
  </si>
  <si>
    <t>IR-01</t>
  </si>
  <si>
    <t>Alcance e Impacto en Medios</t>
  </si>
  <si>
    <t>Volumen total de exposición publicitaria — plan de medios nacional e internacional</t>
  </si>
  <si>
    <t>N° impactos digitales y ATL</t>
  </si>
  <si>
    <t>Central de Medios FONTUR — certificaciones de pauta, reportes de emisión</t>
  </si>
  <si>
    <t>IR-02</t>
  </si>
  <si>
    <t>Generación de Oportunidades Comerciales</t>
  </si>
  <si>
    <t>Intención de compra y acuerdos comerciales en Macro Ruedas de Negocio</t>
  </si>
  <si>
    <t>N° expectativas de negocio</t>
  </si>
  <si>
    <t>MinCIT / FONTUR — reporte de cierre Macro Ruedas, formularios de registro</t>
  </si>
  <si>
    <t>IR-03</t>
  </si>
  <si>
    <t>Medición de Impacto de Campaña</t>
  </si>
  <si>
    <t>Evaluación técnica y estadística de efectividad de la narrativa País de la Belleza</t>
  </si>
  <si>
    <t>N° estudios realizados</t>
  </si>
  <si>
    <t>MinCIT / FONTUR — documento final del estudio entregado y aprobado</t>
  </si>
  <si>
    <t>IR-04</t>
  </si>
  <si>
    <t>Implementación Tecnológica (IA)</t>
  </si>
  <si>
    <t>Desarrollo y puesta en marcha de plataforma digital inteligente de promoción territorial</t>
  </si>
  <si>
    <t>N° plataformas operativas</t>
  </si>
  <si>
    <t>MinCIT / FONTUR — acta de entrega, manuales de usuario, reporte técnico</t>
  </si>
  <si>
    <t>ℹ  INSTRUCCIONES — Sec.A col I: valor acumulado real del IG por período. Sec.B fila Real P264: % ejecutado acumulado P264. Sec.C col H: valor acumulado del IR al corte del mes. NO modificar otras columnas.</t>
  </si>
  <si>
    <t>CURVA-S — AVANCE EJECUCIÓN PRESUPUESTAL  |  FNTP-2025-264  |  Oct-25 – Ago-26  |  % Acumulado Programado vs. Ejecutado Real</t>
  </si>
  <si>
    <t>Feb-26 = Mes 5 del proyecto P264  ·  45.1% confirmado  ·  Meses 1-4 (Oct-Ene): anteriores al contrato FNTC-161-2026</t>
  </si>
  <si>
    <t>FUENTE: % Real = dato ingresado en Datos Sección B. Meses 1-4 son previos al contrato FNTC-161-2026.</t>
  </si>
  <si>
    <t>REGISTRO DE HALLAZGOS Y ACCIONES DE MITIGACIÓN  |  FNTC-161-2026</t>
  </si>
  <si>
    <t>#</t>
  </si>
  <si>
    <t>Hallazgo / Riesgo</t>
  </si>
  <si>
    <t>Acción Mitigante</t>
  </si>
  <si>
    <t>Responsable</t>
  </si>
  <si>
    <t>Fecha Cierre</t>
  </si>
  <si>
    <t>Retraso entrega material por agencia externa</t>
  </si>
  <si>
    <t>Crítico</t>
  </si>
  <si>
    <t>Escalar a comité de mercadeo; ajuste de cronograma.</t>
  </si>
  <si>
    <t>Gerente de Proyecto</t>
  </si>
  <si>
    <t>Baja interacción digital Amazonía y Macizo</t>
  </si>
  <si>
    <t>Observación</t>
  </si>
  <si>
    <t>Reforzar pauta digital focalizada con segmentación regional.</t>
  </si>
  <si>
    <t>Líder Digital</t>
  </si>
  <si>
    <t>Riesgo subejecución Amazonía y Macizo al cierre Q1</t>
  </si>
  <si>
    <t>Alinear cronograma táctico con agencia antes del cierre de trimestre.</t>
  </si>
  <si>
    <t>Coordinador Financiero</t>
  </si>
  <si>
    <t>Flujos Pauta/BTL pendientes calibración MinCIT/FONTUR</t>
  </si>
  <si>
    <t>Calibración y retroalimentación para normalizar umbrales Curva-S.</t>
  </si>
  <si>
    <t>Contratista</t>
  </si>
  <si>
    <t>Agregar filas según se detecten hallazgos. Estado: Crítico / Observación / Resuelto.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</si>
</sst>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\$#,##0"/>
    <numFmt numFmtId="167" formatCode="\+0.0%;\-0.0%;0.0%"/>
    <numFmt numFmtId="168" formatCode="\+0%;\-0%;0%"/>
  </numFmts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3366"/>
      <name val="Arial"/>
      <family val="2"/>
    </font>
    <font>
      <b/>
      <sz val="9"/>
      <color rgb="FF0000FF"/>
      <name val="Arial"/>
      <family val="2"/>
    </font>
    <font>
      <i/>
      <sz val="8"/>
      <color rgb="FF7F8C8D"/>
      <name val="Arial"/>
      <family val="2"/>
    </font>
    <font>
      <b/>
      <sz val="8"/>
      <color rgb="FF000000"/>
      <name val="Arial"/>
      <family val="2"/>
    </font>
    <font>
      <sz val="7"/>
      <color rgb="FF7D6608"/>
      <name val="Arial"/>
      <family val="2"/>
    </font>
    <font>
      <b/>
      <sz val="9"/>
      <color rgb="FFFFFFFF"/>
      <name val="Arial"/>
      <family val="2"/>
    </font>
    <font>
      <b/>
      <i/>
      <sz val="8"/>
      <color rgb="FF7D6608"/>
      <name val="Arial"/>
      <family val="2"/>
    </font>
    <font>
      <b/>
      <sz val="12"/>
      <color rgb="FFFFFFFF"/>
      <name val="Arial"/>
      <family val="2"/>
    </font>
    <font>
      <b/>
      <i/>
      <sz val="9"/>
      <color rgb="FFFFFFFF"/>
      <name val="Arial"/>
      <family val="2"/>
    </font>
    <font>
      <i/>
      <sz val="8"/>
      <color rgb="FF7D6608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sz val="7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67E22"/>
        <bgColor rgb="FFE67E22"/>
      </patternFill>
    </fill>
    <fill>
      <patternFill patternType="solid">
        <fgColor rgb="FFFFFFFF"/>
        <bgColor rgb="FFFFFFFF"/>
      </patternFill>
    </fill>
    <fill>
      <patternFill patternType="solid">
        <fgColor rgb="FFECF0F1"/>
        <bgColor rgb="FFECF0F1"/>
      </patternFill>
    </fill>
    <fill>
      <patternFill patternType="solid">
        <fgColor rgb="FFEAF2FF"/>
        <bgColor rgb="FFEAF2FF"/>
      </patternFill>
    </fill>
    <fill>
      <patternFill patternType="solid">
        <fgColor rgb="FFD6EAF8"/>
        <bgColor rgb="FFD6EAF8"/>
      </patternFill>
    </fill>
    <fill>
      <patternFill patternType="solid">
        <fgColor rgb="FFD5D8DC"/>
        <bgColor rgb="FFD5D8DC"/>
      </patternFill>
    </fill>
    <fill>
      <patternFill patternType="solid">
        <fgColor rgb="FF2E86C1"/>
        <bgColor rgb="FF2E86C1"/>
      </patternFill>
    </fill>
    <fill>
      <patternFill patternType="solid">
        <fgColor rgb="FFFEF9E7"/>
        <bgColor rgb="FFFEF9E7"/>
      </patternFill>
    </fill>
    <fill>
      <patternFill patternType="solid">
        <fgColor rgb="FFA9DFBF"/>
        <bgColor rgb="FFA9DFBF"/>
      </patternFill>
    </fill>
    <fill>
      <patternFill patternType="solid">
        <fgColor rgb="FF6C3483"/>
        <bgColor rgb="FF6C3483"/>
      </patternFill>
    </fill>
    <fill>
      <patternFill patternType="solid">
        <fgColor rgb="FF884EA0"/>
        <bgColor rgb="FF884EA0"/>
      </patternFill>
    </fill>
    <fill>
      <patternFill patternType="solid">
        <fgColor rgb="FF1A5276"/>
        <bgColor rgb="FF1A5276"/>
      </patternFill>
    </fill>
    <fill>
      <patternFill patternType="solid">
        <fgColor rgb="FF1A7A4A"/>
        <bgColor rgb="FF1A7A4A"/>
      </patternFill>
    </fill>
    <fill>
      <patternFill patternType="solid">
        <fgColor rgb="FF1E8449"/>
        <bgColor rgb="FF1E8449"/>
      </patternFill>
    </fill>
    <fill>
      <patternFill patternType="solid">
        <fgColor rgb="FFF39C12"/>
        <bgColor rgb="FFF39C12"/>
      </patternFill>
    </fill>
    <fill>
      <patternFill patternType="solid">
        <fgColor rgb="FFC0392B"/>
        <bgColor rgb="FFC0392B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2" fontId="7" fillId="7" borderId="1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7" fontId="4" fillId="4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7" fontId="4" fillId="5" borderId="1" xfId="0" applyNumberFormat="1" applyFont="1" applyFill="1" applyBorder="1" applyAlignment="1">
      <alignment horizontal="center" vertical="center" wrapText="1"/>
    </xf>
    <xf numFmtId="164" fontId="8" fillId="11" borderId="2" xfId="0" applyNumberFormat="1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164" fontId="12" fillId="13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2" fontId="10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 wrapText="1"/>
    </xf>
    <xf numFmtId="9" fontId="10" fillId="7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9" fontId="10" fillId="11" borderId="1" xfId="0" applyNumberFormat="1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168" fontId="10" fillId="5" borderId="1" xfId="0" applyNumberFormat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164" fontId="3" fillId="13" borderId="1" xfId="0" applyNumberFormat="1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0" fillId="0" borderId="0" xfId="0"/>
    <xf numFmtId="0" fontId="12" fillId="17" borderId="1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left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5" fillId="15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1" fontId="10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ES"/>
              <a:t>Curva-S FNTP-2025-264 — % Avance Presupuestal Acumulado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Curva_S!$C$3</c:f>
              <c:strCache>
                <c:ptCount val="1"/>
                <c:pt idx="0">
                  <c:v>% Programado</c:v>
                </c:pt>
              </c:strCache>
            </c:strRef>
          </c:tx>
          <c:spPr>
            <a:ln w="20000">
              <a:solidFill>
                <a:srgbClr val="1A5276"/>
              </a:solidFill>
              <a:prstDash val="solid"/>
            </a:ln>
          </c:spPr>
          <c:marker>
            <c:symbol val="none"/>
          </c:marker>
          <c:cat>
            <c:strRef>
              <c:f>Curva_S!$A$4:$A$14</c:f>
              <c:strCache>
                <c:ptCount val="11"/>
                <c:pt idx="0">
                  <c:v>Oct-25</c:v>
                </c:pt>
                <c:pt idx="1">
                  <c:v>Nov-25</c:v>
                </c:pt>
                <c:pt idx="2">
                  <c:v>Dic-25</c:v>
                </c:pt>
                <c:pt idx="3">
                  <c:v>Ene-26</c:v>
                </c:pt>
                <c:pt idx="4">
                  <c:v>Feb-26</c:v>
                </c:pt>
                <c:pt idx="5">
                  <c:v>Mar-26</c:v>
                </c:pt>
                <c:pt idx="6">
                  <c:v>Abr-26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Ago-26</c:v>
                </c:pt>
              </c:strCache>
            </c:strRef>
          </c:cat>
          <c:val>
            <c:numRef>
              <c:f>Curva_S!$C$4:$C$14</c:f>
              <c:numCache>
                <c:formatCode>0.0%</c:formatCode>
                <c:ptCount val="11"/>
                <c:pt idx="0">
                  <c:v>0.06</c:v>
                </c:pt>
                <c:pt idx="1">
                  <c:v>0.14000000000000001</c:v>
                </c:pt>
                <c:pt idx="2">
                  <c:v>0.24</c:v>
                </c:pt>
                <c:pt idx="3">
                  <c:v>0.36</c:v>
                </c:pt>
                <c:pt idx="4">
                  <c:v>0.48</c:v>
                </c:pt>
                <c:pt idx="5">
                  <c:v>0.59</c:v>
                </c:pt>
                <c:pt idx="6">
                  <c:v>0.7</c:v>
                </c:pt>
                <c:pt idx="7">
                  <c:v>0.8</c:v>
                </c:pt>
                <c:pt idx="8">
                  <c:v>0.88</c:v>
                </c:pt>
                <c:pt idx="9">
                  <c:v>0.95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82-0946-8239-7C89BC4E57E1}"/>
            </c:ext>
          </c:extLst>
        </c:ser>
        <c:ser>
          <c:idx val="1"/>
          <c:order val="1"/>
          <c:tx>
            <c:strRef>
              <c:f>Curva_S!$D$3</c:f>
              <c:strCache>
                <c:ptCount val="1"/>
                <c:pt idx="0">
                  <c:v>% Real Ejecutado</c:v>
                </c:pt>
              </c:strCache>
            </c:strRef>
          </c:tx>
          <c:spPr>
            <a:ln w="22000">
              <a:solidFill>
                <a:srgbClr val="1A7A4A"/>
              </a:solidFill>
              <a:prstDash val="solid"/>
            </a:ln>
          </c:spPr>
          <c:marker>
            <c:symbol val="none"/>
          </c:marker>
          <c:cat>
            <c:strRef>
              <c:f>Curva_S!$A$4:$A$14</c:f>
              <c:strCache>
                <c:ptCount val="11"/>
                <c:pt idx="0">
                  <c:v>Oct-25</c:v>
                </c:pt>
                <c:pt idx="1">
                  <c:v>Nov-25</c:v>
                </c:pt>
                <c:pt idx="2">
                  <c:v>Dic-25</c:v>
                </c:pt>
                <c:pt idx="3">
                  <c:v>Ene-26</c:v>
                </c:pt>
                <c:pt idx="4">
                  <c:v>Feb-26</c:v>
                </c:pt>
                <c:pt idx="5">
                  <c:v>Mar-26</c:v>
                </c:pt>
                <c:pt idx="6">
                  <c:v>Abr-26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Ago-26</c:v>
                </c:pt>
              </c:strCache>
            </c:strRef>
          </c:cat>
          <c:val>
            <c:numRef>
              <c:f>Curva_S!$D$4:$D$14</c:f>
              <c:numCache>
                <c:formatCode>0.0%</c:formatCode>
                <c:ptCount val="11"/>
                <c:pt idx="0">
                  <c:v>6.6699999999999995E-2</c:v>
                </c:pt>
                <c:pt idx="1">
                  <c:v>0.1326</c:v>
                </c:pt>
                <c:pt idx="2">
                  <c:v>0.33069999999999999</c:v>
                </c:pt>
                <c:pt idx="3">
                  <c:v>0.35399999999999998</c:v>
                </c:pt>
                <c:pt idx="4">
                  <c:v>0.39800000000000002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82-0946-8239-7C89BC4E5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Período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% Avance Acumulado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D125" sqref="D125"/>
    </sheetView>
  </sheetViews>
  <sheetFormatPr baseColWidth="10" defaultColWidth="8.83203125" defaultRowHeight="15" x14ac:dyDescent="0.2"/>
  <cols>
    <col min="1" max="1" width="7" customWidth="1"/>
    <col min="2" max="2" width="28" customWidth="1"/>
    <col min="3" max="3" width="36" customWidth="1"/>
    <col min="4" max="4" width="22" customWidth="1"/>
    <col min="5" max="5" width="9.6640625" bestFit="1" customWidth="1"/>
    <col min="6" max="6" width="12.6640625" bestFit="1" customWidth="1"/>
    <col min="7" max="7" width="10.6640625" bestFit="1" customWidth="1"/>
    <col min="8" max="8" width="7" customWidth="1"/>
    <col min="9" max="10" width="12" customWidth="1"/>
    <col min="11" max="11" width="11" customWidth="1"/>
    <col min="12" max="12" width="10" customWidth="1"/>
  </cols>
  <sheetData>
    <row r="1" spans="1:12" ht="22" customHeight="1" x14ac:dyDescent="0.2">
      <c r="A1" s="70" t="s">
        <v>38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3" spans="1:12" ht="18" customHeight="1" x14ac:dyDescent="0.2">
      <c r="A3" s="73" t="s">
        <v>39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 ht="30" customHeight="1" x14ac:dyDescent="0.2">
      <c r="A4" s="1" t="s">
        <v>3</v>
      </c>
      <c r="B4" s="1" t="s">
        <v>4</v>
      </c>
      <c r="C4" s="1" t="s">
        <v>40</v>
      </c>
      <c r="D4" s="1" t="s">
        <v>5</v>
      </c>
      <c r="E4" s="1" t="s">
        <v>6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8</v>
      </c>
      <c r="K4" s="1" t="s">
        <v>9</v>
      </c>
      <c r="L4" s="1" t="s">
        <v>45</v>
      </c>
    </row>
    <row r="5" spans="1:12" ht="18" customHeight="1" x14ac:dyDescent="0.2">
      <c r="A5" s="2" t="s">
        <v>46</v>
      </c>
      <c r="B5" s="3" t="s">
        <v>47</v>
      </c>
      <c r="C5" s="4" t="s">
        <v>48</v>
      </c>
      <c r="D5" s="5" t="s">
        <v>49</v>
      </c>
      <c r="E5" s="6">
        <v>1</v>
      </c>
      <c r="F5" s="7">
        <v>9.0909090900000003E-2</v>
      </c>
      <c r="G5" s="5" t="s">
        <v>17</v>
      </c>
      <c r="H5" s="5">
        <v>1</v>
      </c>
      <c r="I5" s="8">
        <v>0.45</v>
      </c>
      <c r="J5" s="9">
        <f>IFERROR(LOOKUP(2,1/(I5:I5&lt;&gt;""),I5:I5),"—")</f>
        <v>0.45</v>
      </c>
      <c r="K5" s="10">
        <f t="shared" ref="K5:K36" si="0">IFERROR(IF(OR(J5="—",F5=0),"",J5/F5*100),"—")</f>
        <v>495.00000004949999</v>
      </c>
      <c r="L5" s="11">
        <f t="shared" ref="L5:L36" si="1">IFERROR(IF(K5="","",IF(K5&gt;=95,3,IF(K5&gt;=80,2,1))),"—")</f>
        <v>3</v>
      </c>
    </row>
    <row r="6" spans="1:12" ht="18" customHeight="1" x14ac:dyDescent="0.2">
      <c r="A6" s="2" t="s">
        <v>46</v>
      </c>
      <c r="B6" s="3" t="s">
        <v>47</v>
      </c>
      <c r="C6" s="4" t="s">
        <v>48</v>
      </c>
      <c r="D6" s="5" t="s">
        <v>49</v>
      </c>
      <c r="E6" s="6">
        <v>1</v>
      </c>
      <c r="F6" s="7">
        <v>0.18181818180000001</v>
      </c>
      <c r="G6" s="5" t="s">
        <v>18</v>
      </c>
      <c r="H6" s="5">
        <v>2</v>
      </c>
      <c r="I6" s="12"/>
      <c r="J6" s="9">
        <f>IFERROR(LOOKUP(2,1/(I5:I6&lt;&gt;""),I5:I6),"—")</f>
        <v>0.45</v>
      </c>
      <c r="K6" s="10">
        <f t="shared" si="0"/>
        <v>247.50000002474999</v>
      </c>
      <c r="L6" s="11">
        <f t="shared" si="1"/>
        <v>3</v>
      </c>
    </row>
    <row r="7" spans="1:12" ht="18" customHeight="1" x14ac:dyDescent="0.2">
      <c r="A7" s="2" t="s">
        <v>46</v>
      </c>
      <c r="B7" s="3" t="s">
        <v>47</v>
      </c>
      <c r="C7" s="4" t="s">
        <v>48</v>
      </c>
      <c r="D7" s="5" t="s">
        <v>49</v>
      </c>
      <c r="E7" s="6">
        <v>1</v>
      </c>
      <c r="F7" s="7">
        <v>0.27272727270000002</v>
      </c>
      <c r="G7" s="5" t="s">
        <v>19</v>
      </c>
      <c r="H7" s="5">
        <v>3</v>
      </c>
      <c r="I7" s="12"/>
      <c r="J7" s="9">
        <f>IFERROR(LOOKUP(2,1/(I5:I7&lt;&gt;""),I5:I7),"—")</f>
        <v>0.45</v>
      </c>
      <c r="K7" s="10">
        <f t="shared" si="0"/>
        <v>165.0000000165</v>
      </c>
      <c r="L7" s="11">
        <f t="shared" si="1"/>
        <v>3</v>
      </c>
    </row>
    <row r="8" spans="1:12" ht="18" customHeight="1" x14ac:dyDescent="0.2">
      <c r="A8" s="2" t="s">
        <v>46</v>
      </c>
      <c r="B8" s="3" t="s">
        <v>47</v>
      </c>
      <c r="C8" s="4" t="s">
        <v>48</v>
      </c>
      <c r="D8" s="5" t="s">
        <v>49</v>
      </c>
      <c r="E8" s="6">
        <v>1</v>
      </c>
      <c r="F8" s="7">
        <v>0.36363636360000001</v>
      </c>
      <c r="G8" s="5" t="s">
        <v>20</v>
      </c>
      <c r="H8" s="5">
        <v>4</v>
      </c>
      <c r="I8" s="12"/>
      <c r="J8" s="9">
        <f>IFERROR(LOOKUP(2,1/(I5:I8&lt;&gt;""),I5:I8),"—")</f>
        <v>0.45</v>
      </c>
      <c r="K8" s="10">
        <f t="shared" si="0"/>
        <v>123.750000012375</v>
      </c>
      <c r="L8" s="11">
        <f t="shared" si="1"/>
        <v>3</v>
      </c>
    </row>
    <row r="9" spans="1:12" ht="18" customHeight="1" x14ac:dyDescent="0.2">
      <c r="A9" s="2" t="s">
        <v>46</v>
      </c>
      <c r="B9" s="3" t="s">
        <v>47</v>
      </c>
      <c r="C9" s="4" t="s">
        <v>48</v>
      </c>
      <c r="D9" s="5" t="s">
        <v>49</v>
      </c>
      <c r="E9" s="6">
        <v>1</v>
      </c>
      <c r="F9" s="7">
        <v>0.4545454545</v>
      </c>
      <c r="G9" s="5" t="s">
        <v>21</v>
      </c>
      <c r="H9" s="5">
        <v>5</v>
      </c>
      <c r="I9" s="12"/>
      <c r="J9" s="9">
        <f>IFERROR(LOOKUP(2,1/(I5:I9&lt;&gt;""),I5:I9),"—")</f>
        <v>0.45</v>
      </c>
      <c r="K9" s="10">
        <f t="shared" si="0"/>
        <v>99.000000009900006</v>
      </c>
      <c r="L9" s="11">
        <f t="shared" si="1"/>
        <v>3</v>
      </c>
    </row>
    <row r="10" spans="1:12" ht="18" customHeight="1" x14ac:dyDescent="0.2">
      <c r="A10" s="2" t="s">
        <v>46</v>
      </c>
      <c r="B10" s="3" t="s">
        <v>47</v>
      </c>
      <c r="C10" s="4" t="s">
        <v>48</v>
      </c>
      <c r="D10" s="5" t="s">
        <v>49</v>
      </c>
      <c r="E10" s="6">
        <v>1</v>
      </c>
      <c r="F10" s="7">
        <v>0.54545454550000005</v>
      </c>
      <c r="G10" s="5" t="s">
        <v>22</v>
      </c>
      <c r="H10" s="5">
        <v>6</v>
      </c>
      <c r="I10" s="12"/>
      <c r="J10" s="9">
        <f>IFERROR(LOOKUP(2,1/(I5:I10&lt;&gt;""),I5:I10),"—")</f>
        <v>0.45</v>
      </c>
      <c r="K10" s="10">
        <f t="shared" si="0"/>
        <v>82.499999993125002</v>
      </c>
      <c r="L10" s="11">
        <f t="shared" si="1"/>
        <v>2</v>
      </c>
    </row>
    <row r="11" spans="1:12" ht="18" customHeight="1" x14ac:dyDescent="0.2">
      <c r="A11" s="2" t="s">
        <v>46</v>
      </c>
      <c r="B11" s="3" t="s">
        <v>47</v>
      </c>
      <c r="C11" s="4" t="s">
        <v>48</v>
      </c>
      <c r="D11" s="5" t="s">
        <v>49</v>
      </c>
      <c r="E11" s="6">
        <v>1</v>
      </c>
      <c r="F11" s="7">
        <v>0.63636363640000004</v>
      </c>
      <c r="G11" s="5" t="s">
        <v>23</v>
      </c>
      <c r="H11" s="5">
        <v>7</v>
      </c>
      <c r="I11" s="12"/>
      <c r="J11" s="9">
        <f>IFERROR(LOOKUP(2,1/(I5:I11&lt;&gt;""),I5:I11),"—")</f>
        <v>0.45</v>
      </c>
      <c r="K11" s="10">
        <f t="shared" si="0"/>
        <v>70.714285710244894</v>
      </c>
      <c r="L11" s="11">
        <f t="shared" si="1"/>
        <v>1</v>
      </c>
    </row>
    <row r="12" spans="1:12" ht="18" customHeight="1" x14ac:dyDescent="0.2">
      <c r="A12" s="2" t="s">
        <v>46</v>
      </c>
      <c r="B12" s="3" t="s">
        <v>47</v>
      </c>
      <c r="C12" s="4" t="s">
        <v>48</v>
      </c>
      <c r="D12" s="5" t="s">
        <v>49</v>
      </c>
      <c r="E12" s="6">
        <v>1</v>
      </c>
      <c r="F12" s="7">
        <v>0.72727272730000003</v>
      </c>
      <c r="G12" s="5" t="s">
        <v>50</v>
      </c>
      <c r="H12" s="5">
        <v>8</v>
      </c>
      <c r="I12" s="12"/>
      <c r="J12" s="9">
        <f>IFERROR(LOOKUP(2,1/(I5:I12&lt;&gt;""),I5:I12),"—")</f>
        <v>0.45</v>
      </c>
      <c r="K12" s="10">
        <f t="shared" si="0"/>
        <v>61.874999997679694</v>
      </c>
      <c r="L12" s="11">
        <f t="shared" si="1"/>
        <v>1</v>
      </c>
    </row>
    <row r="13" spans="1:12" ht="18" customHeight="1" x14ac:dyDescent="0.2">
      <c r="A13" s="2" t="s">
        <v>46</v>
      </c>
      <c r="B13" s="3" t="s">
        <v>47</v>
      </c>
      <c r="C13" s="4" t="s">
        <v>48</v>
      </c>
      <c r="D13" s="5" t="s">
        <v>49</v>
      </c>
      <c r="E13" s="6">
        <v>1</v>
      </c>
      <c r="F13" s="7">
        <v>0.81818181820000002</v>
      </c>
      <c r="G13" s="5" t="s">
        <v>51</v>
      </c>
      <c r="H13" s="5">
        <v>9</v>
      </c>
      <c r="I13" s="12"/>
      <c r="J13" s="9">
        <f>IFERROR(LOOKUP(2,1/(I5:I13&lt;&gt;""),I5:I13),"—")</f>
        <v>0.45</v>
      </c>
      <c r="K13" s="10">
        <f t="shared" si="0"/>
        <v>54.999999998777781</v>
      </c>
      <c r="L13" s="11">
        <f t="shared" si="1"/>
        <v>1</v>
      </c>
    </row>
    <row r="14" spans="1:12" ht="18" customHeight="1" x14ac:dyDescent="0.2">
      <c r="A14" s="2" t="s">
        <v>46</v>
      </c>
      <c r="B14" s="3" t="s">
        <v>47</v>
      </c>
      <c r="C14" s="4" t="s">
        <v>48</v>
      </c>
      <c r="D14" s="5" t="s">
        <v>49</v>
      </c>
      <c r="E14" s="6">
        <v>1</v>
      </c>
      <c r="F14" s="7">
        <v>0.90909090910000001</v>
      </c>
      <c r="G14" s="5" t="s">
        <v>52</v>
      </c>
      <c r="H14" s="5">
        <v>10</v>
      </c>
      <c r="I14" s="12"/>
      <c r="J14" s="9">
        <f>IFERROR(LOOKUP(2,1/(I5:I14&lt;&gt;""),I5:I14),"—")</f>
        <v>0.45</v>
      </c>
      <c r="K14" s="10">
        <f t="shared" si="0"/>
        <v>49.499999999505</v>
      </c>
      <c r="L14" s="11">
        <f t="shared" si="1"/>
        <v>1</v>
      </c>
    </row>
    <row r="15" spans="1:12" ht="18" customHeight="1" x14ac:dyDescent="0.2">
      <c r="A15" s="2" t="s">
        <v>46</v>
      </c>
      <c r="B15" s="3" t="s">
        <v>47</v>
      </c>
      <c r="C15" s="4" t="s">
        <v>48</v>
      </c>
      <c r="D15" s="5" t="s">
        <v>49</v>
      </c>
      <c r="E15" s="6">
        <v>1</v>
      </c>
      <c r="F15" s="7">
        <v>1</v>
      </c>
      <c r="G15" s="5" t="s">
        <v>53</v>
      </c>
      <c r="H15" s="5">
        <v>11</v>
      </c>
      <c r="I15" s="12"/>
      <c r="J15" s="9">
        <f>IFERROR(LOOKUP(2,1/(I5:I15&lt;&gt;""),I5:I15),"—")</f>
        <v>0.45</v>
      </c>
      <c r="K15" s="10">
        <f t="shared" si="0"/>
        <v>45</v>
      </c>
      <c r="L15" s="11">
        <f t="shared" si="1"/>
        <v>1</v>
      </c>
    </row>
    <row r="16" spans="1:12" ht="18" customHeight="1" x14ac:dyDescent="0.2">
      <c r="A16" s="13" t="s">
        <v>54</v>
      </c>
      <c r="B16" s="14" t="s">
        <v>55</v>
      </c>
      <c r="C16" s="15" t="s">
        <v>56</v>
      </c>
      <c r="D16" s="16" t="s">
        <v>49</v>
      </c>
      <c r="E16" s="17">
        <v>1</v>
      </c>
      <c r="F16" s="7">
        <v>9.0909090900000003E-2</v>
      </c>
      <c r="G16" s="16" t="s">
        <v>17</v>
      </c>
      <c r="H16" s="16">
        <v>1</v>
      </c>
      <c r="I16" s="8">
        <v>0.57999999999999996</v>
      </c>
      <c r="J16" s="9">
        <f>IFERROR(LOOKUP(2,1/(I16:I16&lt;&gt;""),I16:I16),"—")</f>
        <v>0.57999999999999996</v>
      </c>
      <c r="K16" s="10">
        <f t="shared" si="0"/>
        <v>638.00000006380003</v>
      </c>
      <c r="L16" s="11">
        <f t="shared" si="1"/>
        <v>3</v>
      </c>
    </row>
    <row r="17" spans="1:12" ht="18" customHeight="1" x14ac:dyDescent="0.2">
      <c r="A17" s="13" t="s">
        <v>54</v>
      </c>
      <c r="B17" s="14" t="s">
        <v>55</v>
      </c>
      <c r="C17" s="15" t="s">
        <v>56</v>
      </c>
      <c r="D17" s="16" t="s">
        <v>49</v>
      </c>
      <c r="E17" s="17">
        <v>1</v>
      </c>
      <c r="F17" s="7">
        <v>0.18181818180000001</v>
      </c>
      <c r="G17" s="16" t="s">
        <v>18</v>
      </c>
      <c r="H17" s="16">
        <v>2</v>
      </c>
      <c r="I17" s="12"/>
      <c r="J17" s="9">
        <f>IFERROR(LOOKUP(2,1/(I16:I17&lt;&gt;""),I16:I17),"—")</f>
        <v>0.57999999999999996</v>
      </c>
      <c r="K17" s="10">
        <f t="shared" si="0"/>
        <v>319.00000003190002</v>
      </c>
      <c r="L17" s="11">
        <f t="shared" si="1"/>
        <v>3</v>
      </c>
    </row>
    <row r="18" spans="1:12" ht="18" customHeight="1" x14ac:dyDescent="0.2">
      <c r="A18" s="13" t="s">
        <v>54</v>
      </c>
      <c r="B18" s="14" t="s">
        <v>55</v>
      </c>
      <c r="C18" s="15" t="s">
        <v>56</v>
      </c>
      <c r="D18" s="16" t="s">
        <v>49</v>
      </c>
      <c r="E18" s="17">
        <v>1</v>
      </c>
      <c r="F18" s="7">
        <v>0.27272727270000002</v>
      </c>
      <c r="G18" s="16" t="s">
        <v>19</v>
      </c>
      <c r="H18" s="16">
        <v>3</v>
      </c>
      <c r="I18" s="12"/>
      <c r="J18" s="9">
        <f>IFERROR(LOOKUP(2,1/(I16:I18&lt;&gt;""),I16:I18),"—")</f>
        <v>0.57999999999999996</v>
      </c>
      <c r="K18" s="10">
        <f t="shared" si="0"/>
        <v>212.66666668793329</v>
      </c>
      <c r="L18" s="11">
        <f t="shared" si="1"/>
        <v>3</v>
      </c>
    </row>
    <row r="19" spans="1:12" ht="18" customHeight="1" x14ac:dyDescent="0.2">
      <c r="A19" s="13" t="s">
        <v>54</v>
      </c>
      <c r="B19" s="14" t="s">
        <v>55</v>
      </c>
      <c r="C19" s="15" t="s">
        <v>56</v>
      </c>
      <c r="D19" s="16" t="s">
        <v>49</v>
      </c>
      <c r="E19" s="17">
        <v>1</v>
      </c>
      <c r="F19" s="7">
        <v>0.36363636360000001</v>
      </c>
      <c r="G19" s="16" t="s">
        <v>20</v>
      </c>
      <c r="H19" s="16">
        <v>4</v>
      </c>
      <c r="I19" s="12"/>
      <c r="J19" s="9">
        <f>IFERROR(LOOKUP(2,1/(I16:I19&lt;&gt;""),I16:I19),"—")</f>
        <v>0.57999999999999996</v>
      </c>
      <c r="K19" s="10">
        <f t="shared" si="0"/>
        <v>159.50000001595001</v>
      </c>
      <c r="L19" s="11">
        <f t="shared" si="1"/>
        <v>3</v>
      </c>
    </row>
    <row r="20" spans="1:12" ht="18" customHeight="1" x14ac:dyDescent="0.2">
      <c r="A20" s="13" t="s">
        <v>54</v>
      </c>
      <c r="B20" s="14" t="s">
        <v>55</v>
      </c>
      <c r="C20" s="15" t="s">
        <v>56</v>
      </c>
      <c r="D20" s="16" t="s">
        <v>49</v>
      </c>
      <c r="E20" s="17">
        <v>1</v>
      </c>
      <c r="F20" s="7">
        <v>0.4545454545</v>
      </c>
      <c r="G20" s="16" t="s">
        <v>21</v>
      </c>
      <c r="H20" s="16">
        <v>5</v>
      </c>
      <c r="I20" s="12"/>
      <c r="J20" s="9">
        <f>IFERROR(LOOKUP(2,1/(I16:I20&lt;&gt;""),I16:I20),"—")</f>
        <v>0.57999999999999996</v>
      </c>
      <c r="K20" s="10">
        <f t="shared" si="0"/>
        <v>127.60000001275999</v>
      </c>
      <c r="L20" s="11">
        <f t="shared" si="1"/>
        <v>3</v>
      </c>
    </row>
    <row r="21" spans="1:12" ht="18" customHeight="1" x14ac:dyDescent="0.2">
      <c r="A21" s="13" t="s">
        <v>54</v>
      </c>
      <c r="B21" s="14" t="s">
        <v>55</v>
      </c>
      <c r="C21" s="15" t="s">
        <v>56</v>
      </c>
      <c r="D21" s="16" t="s">
        <v>49</v>
      </c>
      <c r="E21" s="17">
        <v>1</v>
      </c>
      <c r="F21" s="7">
        <v>0.54545454550000005</v>
      </c>
      <c r="G21" s="16" t="s">
        <v>22</v>
      </c>
      <c r="H21" s="16">
        <v>6</v>
      </c>
      <c r="I21" s="12"/>
      <c r="J21" s="9">
        <f>IFERROR(LOOKUP(2,1/(I16:I21&lt;&gt;""),I16:I21),"—")</f>
        <v>0.57999999999999996</v>
      </c>
      <c r="K21" s="10">
        <f t="shared" si="0"/>
        <v>106.33333332447221</v>
      </c>
      <c r="L21" s="11">
        <f t="shared" si="1"/>
        <v>3</v>
      </c>
    </row>
    <row r="22" spans="1:12" ht="18" customHeight="1" x14ac:dyDescent="0.2">
      <c r="A22" s="13" t="s">
        <v>54</v>
      </c>
      <c r="B22" s="14" t="s">
        <v>55</v>
      </c>
      <c r="C22" s="15" t="s">
        <v>56</v>
      </c>
      <c r="D22" s="16" t="s">
        <v>49</v>
      </c>
      <c r="E22" s="17">
        <v>1</v>
      </c>
      <c r="F22" s="7">
        <v>0.63636363640000004</v>
      </c>
      <c r="G22" s="16" t="s">
        <v>23</v>
      </c>
      <c r="H22" s="16">
        <v>7</v>
      </c>
      <c r="I22" s="12"/>
      <c r="J22" s="9">
        <f>IFERROR(LOOKUP(2,1/(I16:I22&lt;&gt;""),I16:I22),"—")</f>
        <v>0.57999999999999996</v>
      </c>
      <c r="K22" s="10">
        <f t="shared" si="0"/>
        <v>91.142857137648974</v>
      </c>
      <c r="L22" s="11">
        <f t="shared" si="1"/>
        <v>2</v>
      </c>
    </row>
    <row r="23" spans="1:12" ht="18" customHeight="1" x14ac:dyDescent="0.2">
      <c r="A23" s="13" t="s">
        <v>54</v>
      </c>
      <c r="B23" s="14" t="s">
        <v>55</v>
      </c>
      <c r="C23" s="15" t="s">
        <v>56</v>
      </c>
      <c r="D23" s="16" t="s">
        <v>49</v>
      </c>
      <c r="E23" s="17">
        <v>1</v>
      </c>
      <c r="F23" s="7">
        <v>0.72727272730000003</v>
      </c>
      <c r="G23" s="16" t="s">
        <v>50</v>
      </c>
      <c r="H23" s="16">
        <v>8</v>
      </c>
      <c r="I23" s="12"/>
      <c r="J23" s="9">
        <f>IFERROR(LOOKUP(2,1/(I16:I23&lt;&gt;""),I16:I23),"—")</f>
        <v>0.57999999999999996</v>
      </c>
      <c r="K23" s="10">
        <f t="shared" si="0"/>
        <v>79.749999997009368</v>
      </c>
      <c r="L23" s="11">
        <f t="shared" si="1"/>
        <v>1</v>
      </c>
    </row>
    <row r="24" spans="1:12" ht="18" customHeight="1" x14ac:dyDescent="0.2">
      <c r="A24" s="13" t="s">
        <v>54</v>
      </c>
      <c r="B24" s="14" t="s">
        <v>55</v>
      </c>
      <c r="C24" s="15" t="s">
        <v>56</v>
      </c>
      <c r="D24" s="16" t="s">
        <v>49</v>
      </c>
      <c r="E24" s="17">
        <v>1</v>
      </c>
      <c r="F24" s="7">
        <v>0.81818181820000002</v>
      </c>
      <c r="G24" s="16" t="s">
        <v>51</v>
      </c>
      <c r="H24" s="16">
        <v>9</v>
      </c>
      <c r="I24" s="12"/>
      <c r="J24" s="9">
        <f>IFERROR(LOOKUP(2,1/(I16:I24&lt;&gt;""),I16:I24),"—")</f>
        <v>0.57999999999999996</v>
      </c>
      <c r="K24" s="10">
        <f t="shared" si="0"/>
        <v>70.88888888731357</v>
      </c>
      <c r="L24" s="11">
        <f t="shared" si="1"/>
        <v>1</v>
      </c>
    </row>
    <row r="25" spans="1:12" ht="18" customHeight="1" x14ac:dyDescent="0.2">
      <c r="A25" s="13" t="s">
        <v>54</v>
      </c>
      <c r="B25" s="14" t="s">
        <v>55</v>
      </c>
      <c r="C25" s="15" t="s">
        <v>56</v>
      </c>
      <c r="D25" s="16" t="s">
        <v>49</v>
      </c>
      <c r="E25" s="17">
        <v>1</v>
      </c>
      <c r="F25" s="7">
        <v>0.90909090910000001</v>
      </c>
      <c r="G25" s="16" t="s">
        <v>52</v>
      </c>
      <c r="H25" s="16">
        <v>10</v>
      </c>
      <c r="I25" s="12"/>
      <c r="J25" s="9">
        <f>IFERROR(LOOKUP(2,1/(I16:I25&lt;&gt;""),I16:I25),"—")</f>
        <v>0.57999999999999996</v>
      </c>
      <c r="K25" s="10">
        <f t="shared" si="0"/>
        <v>63.799999999362001</v>
      </c>
      <c r="L25" s="11">
        <f t="shared" si="1"/>
        <v>1</v>
      </c>
    </row>
    <row r="26" spans="1:12" ht="18" customHeight="1" x14ac:dyDescent="0.2">
      <c r="A26" s="13" t="s">
        <v>54</v>
      </c>
      <c r="B26" s="14" t="s">
        <v>55</v>
      </c>
      <c r="C26" s="15" t="s">
        <v>56</v>
      </c>
      <c r="D26" s="16" t="s">
        <v>49</v>
      </c>
      <c r="E26" s="17">
        <v>1</v>
      </c>
      <c r="F26" s="7">
        <v>1</v>
      </c>
      <c r="G26" s="16" t="s">
        <v>53</v>
      </c>
      <c r="H26" s="16">
        <v>11</v>
      </c>
      <c r="I26" s="12"/>
      <c r="J26" s="9">
        <f>IFERROR(LOOKUP(2,1/(I16:I26&lt;&gt;""),I16:I26),"—")</f>
        <v>0.57999999999999996</v>
      </c>
      <c r="K26" s="10">
        <f t="shared" si="0"/>
        <v>57.999999999999993</v>
      </c>
      <c r="L26" s="11">
        <f t="shared" si="1"/>
        <v>1</v>
      </c>
    </row>
    <row r="27" spans="1:12" ht="18" customHeight="1" x14ac:dyDescent="0.2">
      <c r="A27" s="2" t="s">
        <v>57</v>
      </c>
      <c r="B27" s="3" t="s">
        <v>58</v>
      </c>
      <c r="C27" s="4" t="s">
        <v>59</v>
      </c>
      <c r="D27" s="5" t="s">
        <v>49</v>
      </c>
      <c r="E27" s="6">
        <v>1</v>
      </c>
      <c r="F27" s="7">
        <v>9.0909090900000003E-2</v>
      </c>
      <c r="G27" s="5" t="s">
        <v>17</v>
      </c>
      <c r="H27" s="5">
        <v>1</v>
      </c>
      <c r="I27" s="8">
        <v>0.62</v>
      </c>
      <c r="J27" s="9">
        <f>IFERROR(LOOKUP(2,1/(I27:I27&lt;&gt;""),I27:I27),"—")</f>
        <v>0.62</v>
      </c>
      <c r="K27" s="10">
        <f t="shared" si="0"/>
        <v>682.00000006819994</v>
      </c>
      <c r="L27" s="11">
        <f t="shared" si="1"/>
        <v>3</v>
      </c>
    </row>
    <row r="28" spans="1:12" ht="18" customHeight="1" x14ac:dyDescent="0.2">
      <c r="A28" s="2" t="s">
        <v>57</v>
      </c>
      <c r="B28" s="3" t="s">
        <v>58</v>
      </c>
      <c r="C28" s="4" t="s">
        <v>59</v>
      </c>
      <c r="D28" s="5" t="s">
        <v>49</v>
      </c>
      <c r="E28" s="6">
        <v>1</v>
      </c>
      <c r="F28" s="7">
        <v>0.18181818180000001</v>
      </c>
      <c r="G28" s="5" t="s">
        <v>18</v>
      </c>
      <c r="H28" s="5">
        <v>2</v>
      </c>
      <c r="I28" s="12"/>
      <c r="J28" s="9">
        <f>IFERROR(LOOKUP(2,1/(I27:I28&lt;&gt;""),I27:I28),"—")</f>
        <v>0.62</v>
      </c>
      <c r="K28" s="10">
        <f t="shared" si="0"/>
        <v>341.00000003409997</v>
      </c>
      <c r="L28" s="11">
        <f t="shared" si="1"/>
        <v>3</v>
      </c>
    </row>
    <row r="29" spans="1:12" ht="18" customHeight="1" x14ac:dyDescent="0.2">
      <c r="A29" s="2" t="s">
        <v>57</v>
      </c>
      <c r="B29" s="3" t="s">
        <v>58</v>
      </c>
      <c r="C29" s="4" t="s">
        <v>59</v>
      </c>
      <c r="D29" s="5" t="s">
        <v>49</v>
      </c>
      <c r="E29" s="6">
        <v>1</v>
      </c>
      <c r="F29" s="7">
        <v>0.27272727270000002</v>
      </c>
      <c r="G29" s="5" t="s">
        <v>19</v>
      </c>
      <c r="H29" s="5">
        <v>3</v>
      </c>
      <c r="I29" s="12"/>
      <c r="J29" s="9">
        <f>IFERROR(LOOKUP(2,1/(I27:I29&lt;&gt;""),I27:I29),"—")</f>
        <v>0.62</v>
      </c>
      <c r="K29" s="10">
        <f t="shared" si="0"/>
        <v>227.33333335606662</v>
      </c>
      <c r="L29" s="11">
        <f t="shared" si="1"/>
        <v>3</v>
      </c>
    </row>
    <row r="30" spans="1:12" ht="18" customHeight="1" x14ac:dyDescent="0.2">
      <c r="A30" s="2" t="s">
        <v>57</v>
      </c>
      <c r="B30" s="3" t="s">
        <v>58</v>
      </c>
      <c r="C30" s="4" t="s">
        <v>59</v>
      </c>
      <c r="D30" s="5" t="s">
        <v>49</v>
      </c>
      <c r="E30" s="6">
        <v>1</v>
      </c>
      <c r="F30" s="7">
        <v>0.36363636360000001</v>
      </c>
      <c r="G30" s="5" t="s">
        <v>20</v>
      </c>
      <c r="H30" s="5">
        <v>4</v>
      </c>
      <c r="I30" s="12"/>
      <c r="J30" s="9">
        <f>IFERROR(LOOKUP(2,1/(I27:I30&lt;&gt;""),I27:I30),"—")</f>
        <v>0.62</v>
      </c>
      <c r="K30" s="10">
        <f t="shared" si="0"/>
        <v>170.50000001704998</v>
      </c>
      <c r="L30" s="11">
        <f t="shared" si="1"/>
        <v>3</v>
      </c>
    </row>
    <row r="31" spans="1:12" ht="18" customHeight="1" x14ac:dyDescent="0.2">
      <c r="A31" s="2" t="s">
        <v>57</v>
      </c>
      <c r="B31" s="3" t="s">
        <v>58</v>
      </c>
      <c r="C31" s="4" t="s">
        <v>59</v>
      </c>
      <c r="D31" s="5" t="s">
        <v>49</v>
      </c>
      <c r="E31" s="6">
        <v>1</v>
      </c>
      <c r="F31" s="7">
        <v>0.4545454545</v>
      </c>
      <c r="G31" s="5" t="s">
        <v>21</v>
      </c>
      <c r="H31" s="5">
        <v>5</v>
      </c>
      <c r="I31" s="12"/>
      <c r="J31" s="9">
        <f>IFERROR(LOOKUP(2,1/(I27:I31&lt;&gt;""),I27:I31),"—")</f>
        <v>0.62</v>
      </c>
      <c r="K31" s="10">
        <f t="shared" si="0"/>
        <v>136.40000001363998</v>
      </c>
      <c r="L31" s="11">
        <f t="shared" si="1"/>
        <v>3</v>
      </c>
    </row>
    <row r="32" spans="1:12" ht="18" customHeight="1" x14ac:dyDescent="0.2">
      <c r="A32" s="2" t="s">
        <v>57</v>
      </c>
      <c r="B32" s="3" t="s">
        <v>58</v>
      </c>
      <c r="C32" s="4" t="s">
        <v>59</v>
      </c>
      <c r="D32" s="5" t="s">
        <v>49</v>
      </c>
      <c r="E32" s="6">
        <v>1</v>
      </c>
      <c r="F32" s="7">
        <v>0.54545454550000005</v>
      </c>
      <c r="G32" s="5" t="s">
        <v>22</v>
      </c>
      <c r="H32" s="5">
        <v>6</v>
      </c>
      <c r="I32" s="12"/>
      <c r="J32" s="9">
        <f>IFERROR(LOOKUP(2,1/(I27:I32&lt;&gt;""),I27:I32),"—")</f>
        <v>0.62</v>
      </c>
      <c r="K32" s="10">
        <f t="shared" si="0"/>
        <v>113.66666665719443</v>
      </c>
      <c r="L32" s="11">
        <f t="shared" si="1"/>
        <v>3</v>
      </c>
    </row>
    <row r="33" spans="1:12" ht="18" customHeight="1" x14ac:dyDescent="0.2">
      <c r="A33" s="2" t="s">
        <v>57</v>
      </c>
      <c r="B33" s="3" t="s">
        <v>58</v>
      </c>
      <c r="C33" s="4" t="s">
        <v>59</v>
      </c>
      <c r="D33" s="5" t="s">
        <v>49</v>
      </c>
      <c r="E33" s="6">
        <v>1</v>
      </c>
      <c r="F33" s="7">
        <v>0.63636363640000004</v>
      </c>
      <c r="G33" s="5" t="s">
        <v>23</v>
      </c>
      <c r="H33" s="5">
        <v>7</v>
      </c>
      <c r="I33" s="12"/>
      <c r="J33" s="9">
        <f>IFERROR(LOOKUP(2,1/(I27:I33&lt;&gt;""),I27:I33),"—")</f>
        <v>0.62</v>
      </c>
      <c r="K33" s="10">
        <f t="shared" si="0"/>
        <v>97.428571423004072</v>
      </c>
      <c r="L33" s="11">
        <f t="shared" si="1"/>
        <v>3</v>
      </c>
    </row>
    <row r="34" spans="1:12" ht="18" customHeight="1" x14ac:dyDescent="0.2">
      <c r="A34" s="2" t="s">
        <v>57</v>
      </c>
      <c r="B34" s="3" t="s">
        <v>58</v>
      </c>
      <c r="C34" s="4" t="s">
        <v>59</v>
      </c>
      <c r="D34" s="5" t="s">
        <v>49</v>
      </c>
      <c r="E34" s="6">
        <v>1</v>
      </c>
      <c r="F34" s="7">
        <v>0.72727272730000003</v>
      </c>
      <c r="G34" s="5" t="s">
        <v>50</v>
      </c>
      <c r="H34" s="5">
        <v>8</v>
      </c>
      <c r="I34" s="12"/>
      <c r="J34" s="9">
        <f>IFERROR(LOOKUP(2,1/(I27:I34&lt;&gt;""),I27:I34),"—")</f>
        <v>0.62</v>
      </c>
      <c r="K34" s="10">
        <f t="shared" si="0"/>
        <v>85.249999996803112</v>
      </c>
      <c r="L34" s="11">
        <f t="shared" si="1"/>
        <v>2</v>
      </c>
    </row>
    <row r="35" spans="1:12" ht="18" customHeight="1" x14ac:dyDescent="0.2">
      <c r="A35" s="2" t="s">
        <v>57</v>
      </c>
      <c r="B35" s="3" t="s">
        <v>58</v>
      </c>
      <c r="C35" s="4" t="s">
        <v>59</v>
      </c>
      <c r="D35" s="5" t="s">
        <v>49</v>
      </c>
      <c r="E35" s="6">
        <v>1</v>
      </c>
      <c r="F35" s="7">
        <v>0.81818181820000002</v>
      </c>
      <c r="G35" s="5" t="s">
        <v>51</v>
      </c>
      <c r="H35" s="5">
        <v>9</v>
      </c>
      <c r="I35" s="12"/>
      <c r="J35" s="9">
        <f>IFERROR(LOOKUP(2,1/(I27:I35&lt;&gt;""),I27:I35),"—")</f>
        <v>0.62</v>
      </c>
      <c r="K35" s="10">
        <f t="shared" si="0"/>
        <v>75.777777776093828</v>
      </c>
      <c r="L35" s="11">
        <f t="shared" si="1"/>
        <v>1</v>
      </c>
    </row>
    <row r="36" spans="1:12" ht="18" customHeight="1" x14ac:dyDescent="0.2">
      <c r="A36" s="2" t="s">
        <v>57</v>
      </c>
      <c r="B36" s="3" t="s">
        <v>58</v>
      </c>
      <c r="C36" s="4" t="s">
        <v>59</v>
      </c>
      <c r="D36" s="5" t="s">
        <v>49</v>
      </c>
      <c r="E36" s="6">
        <v>1</v>
      </c>
      <c r="F36" s="7">
        <v>0.90909090910000001</v>
      </c>
      <c r="G36" s="5" t="s">
        <v>52</v>
      </c>
      <c r="H36" s="5">
        <v>10</v>
      </c>
      <c r="I36" s="12"/>
      <c r="J36" s="9">
        <f>IFERROR(LOOKUP(2,1/(I27:I36&lt;&gt;""),I27:I36),"—")</f>
        <v>0.62</v>
      </c>
      <c r="K36" s="10">
        <f t="shared" si="0"/>
        <v>68.199999999317996</v>
      </c>
      <c r="L36" s="11">
        <f t="shared" si="1"/>
        <v>1</v>
      </c>
    </row>
    <row r="37" spans="1:12" ht="18" customHeight="1" x14ac:dyDescent="0.2">
      <c r="A37" s="2" t="s">
        <v>57</v>
      </c>
      <c r="B37" s="3" t="s">
        <v>58</v>
      </c>
      <c r="C37" s="4" t="s">
        <v>59</v>
      </c>
      <c r="D37" s="5" t="s">
        <v>49</v>
      </c>
      <c r="E37" s="6">
        <v>1</v>
      </c>
      <c r="F37" s="7">
        <v>1</v>
      </c>
      <c r="G37" s="5" t="s">
        <v>53</v>
      </c>
      <c r="H37" s="5">
        <v>11</v>
      </c>
      <c r="I37" s="12"/>
      <c r="J37" s="9">
        <f>IFERROR(LOOKUP(2,1/(I27:I37&lt;&gt;""),I27:I37),"—")</f>
        <v>0.62</v>
      </c>
      <c r="K37" s="10">
        <f t="shared" ref="K37:K68" si="2">IFERROR(IF(OR(J37="—",F37=0),"",J37/F37*100),"—")</f>
        <v>62</v>
      </c>
      <c r="L37" s="11">
        <f t="shared" ref="L37:L68" si="3">IFERROR(IF(K37="","",IF(K37&gt;=95,3,IF(K37&gt;=80,2,1))),"—")</f>
        <v>1</v>
      </c>
    </row>
    <row r="38" spans="1:12" ht="18" customHeight="1" x14ac:dyDescent="0.2">
      <c r="A38" s="13" t="s">
        <v>60</v>
      </c>
      <c r="B38" s="14" t="s">
        <v>61</v>
      </c>
      <c r="C38" s="15" t="s">
        <v>62</v>
      </c>
      <c r="D38" s="16" t="s">
        <v>49</v>
      </c>
      <c r="E38" s="17">
        <v>1</v>
      </c>
      <c r="F38" s="7">
        <v>9.0909090900000003E-2</v>
      </c>
      <c r="G38" s="16" t="s">
        <v>17</v>
      </c>
      <c r="H38" s="16">
        <v>1</v>
      </c>
      <c r="I38" s="8">
        <v>0.31</v>
      </c>
      <c r="J38" s="9">
        <f>IFERROR(LOOKUP(2,1/(I38:I38&lt;&gt;""),I38:I38),"—")</f>
        <v>0.31</v>
      </c>
      <c r="K38" s="10">
        <f t="shared" si="2"/>
        <v>341.00000003409997</v>
      </c>
      <c r="L38" s="11">
        <f t="shared" si="3"/>
        <v>3</v>
      </c>
    </row>
    <row r="39" spans="1:12" ht="18" customHeight="1" x14ac:dyDescent="0.2">
      <c r="A39" s="13" t="s">
        <v>60</v>
      </c>
      <c r="B39" s="14" t="s">
        <v>61</v>
      </c>
      <c r="C39" s="15" t="s">
        <v>62</v>
      </c>
      <c r="D39" s="16" t="s">
        <v>49</v>
      </c>
      <c r="E39" s="17">
        <v>1</v>
      </c>
      <c r="F39" s="7">
        <v>0.18181818180000001</v>
      </c>
      <c r="G39" s="16" t="s">
        <v>18</v>
      </c>
      <c r="H39" s="16">
        <v>2</v>
      </c>
      <c r="I39" s="12"/>
      <c r="J39" s="9">
        <f>IFERROR(LOOKUP(2,1/(I38:I39&lt;&gt;""),I38:I39),"—")</f>
        <v>0.31</v>
      </c>
      <c r="K39" s="10">
        <f t="shared" si="2"/>
        <v>170.50000001704998</v>
      </c>
      <c r="L39" s="11">
        <f t="shared" si="3"/>
        <v>3</v>
      </c>
    </row>
    <row r="40" spans="1:12" ht="18" customHeight="1" x14ac:dyDescent="0.2">
      <c r="A40" s="13" t="s">
        <v>60</v>
      </c>
      <c r="B40" s="14" t="s">
        <v>61</v>
      </c>
      <c r="C40" s="15" t="s">
        <v>62</v>
      </c>
      <c r="D40" s="16" t="s">
        <v>49</v>
      </c>
      <c r="E40" s="17">
        <v>1</v>
      </c>
      <c r="F40" s="7">
        <v>0.27272727270000002</v>
      </c>
      <c r="G40" s="16" t="s">
        <v>19</v>
      </c>
      <c r="H40" s="16">
        <v>3</v>
      </c>
      <c r="I40" s="12"/>
      <c r="J40" s="9">
        <f>IFERROR(LOOKUP(2,1/(I38:I40&lt;&gt;""),I38:I40),"—")</f>
        <v>0.31</v>
      </c>
      <c r="K40" s="10">
        <f t="shared" si="2"/>
        <v>113.66666667803331</v>
      </c>
      <c r="L40" s="11">
        <f t="shared" si="3"/>
        <v>3</v>
      </c>
    </row>
    <row r="41" spans="1:12" ht="18" customHeight="1" x14ac:dyDescent="0.2">
      <c r="A41" s="13" t="s">
        <v>60</v>
      </c>
      <c r="B41" s="14" t="s">
        <v>61</v>
      </c>
      <c r="C41" s="15" t="s">
        <v>62</v>
      </c>
      <c r="D41" s="16" t="s">
        <v>49</v>
      </c>
      <c r="E41" s="17">
        <v>1</v>
      </c>
      <c r="F41" s="7">
        <v>0.36363636360000001</v>
      </c>
      <c r="G41" s="16" t="s">
        <v>20</v>
      </c>
      <c r="H41" s="16">
        <v>4</v>
      </c>
      <c r="I41" s="12"/>
      <c r="J41" s="9">
        <f>IFERROR(LOOKUP(2,1/(I38:I41&lt;&gt;""),I38:I41),"—")</f>
        <v>0.31</v>
      </c>
      <c r="K41" s="10">
        <f t="shared" si="2"/>
        <v>85.250000008524992</v>
      </c>
      <c r="L41" s="11">
        <f t="shared" si="3"/>
        <v>2</v>
      </c>
    </row>
    <row r="42" spans="1:12" ht="18" customHeight="1" x14ac:dyDescent="0.2">
      <c r="A42" s="13" t="s">
        <v>60</v>
      </c>
      <c r="B42" s="14" t="s">
        <v>61</v>
      </c>
      <c r="C42" s="15" t="s">
        <v>62</v>
      </c>
      <c r="D42" s="16" t="s">
        <v>49</v>
      </c>
      <c r="E42" s="17">
        <v>1</v>
      </c>
      <c r="F42" s="7">
        <v>0.4545454545</v>
      </c>
      <c r="G42" s="16" t="s">
        <v>21</v>
      </c>
      <c r="H42" s="16">
        <v>5</v>
      </c>
      <c r="I42" s="12"/>
      <c r="J42" s="9">
        <f>IFERROR(LOOKUP(2,1/(I38:I42&lt;&gt;""),I38:I42),"—")</f>
        <v>0.31</v>
      </c>
      <c r="K42" s="10">
        <f t="shared" si="2"/>
        <v>68.200000006819991</v>
      </c>
      <c r="L42" s="11">
        <f t="shared" si="3"/>
        <v>1</v>
      </c>
    </row>
    <row r="43" spans="1:12" ht="18" customHeight="1" x14ac:dyDescent="0.2">
      <c r="A43" s="13" t="s">
        <v>60</v>
      </c>
      <c r="B43" s="14" t="s">
        <v>61</v>
      </c>
      <c r="C43" s="15" t="s">
        <v>62</v>
      </c>
      <c r="D43" s="16" t="s">
        <v>49</v>
      </c>
      <c r="E43" s="17">
        <v>1</v>
      </c>
      <c r="F43" s="7">
        <v>0.54545454550000005</v>
      </c>
      <c r="G43" s="16" t="s">
        <v>22</v>
      </c>
      <c r="H43" s="16">
        <v>6</v>
      </c>
      <c r="I43" s="12"/>
      <c r="J43" s="9">
        <f>IFERROR(LOOKUP(2,1/(I38:I43&lt;&gt;""),I38:I43),"—")</f>
        <v>0.31</v>
      </c>
      <c r="K43" s="10">
        <f t="shared" si="2"/>
        <v>56.833333328597213</v>
      </c>
      <c r="L43" s="11">
        <f t="shared" si="3"/>
        <v>1</v>
      </c>
    </row>
    <row r="44" spans="1:12" ht="18" customHeight="1" x14ac:dyDescent="0.2">
      <c r="A44" s="13" t="s">
        <v>60</v>
      </c>
      <c r="B44" s="14" t="s">
        <v>61</v>
      </c>
      <c r="C44" s="15" t="s">
        <v>62</v>
      </c>
      <c r="D44" s="16" t="s">
        <v>49</v>
      </c>
      <c r="E44" s="17">
        <v>1</v>
      </c>
      <c r="F44" s="7">
        <v>0.63636363640000004</v>
      </c>
      <c r="G44" s="16" t="s">
        <v>23</v>
      </c>
      <c r="H44" s="16">
        <v>7</v>
      </c>
      <c r="I44" s="12"/>
      <c r="J44" s="9">
        <f>IFERROR(LOOKUP(2,1/(I38:I44&lt;&gt;""),I38:I44),"—")</f>
        <v>0.31</v>
      </c>
      <c r="K44" s="10">
        <f t="shared" si="2"/>
        <v>48.714285711502036</v>
      </c>
      <c r="L44" s="11">
        <f t="shared" si="3"/>
        <v>1</v>
      </c>
    </row>
    <row r="45" spans="1:12" ht="18" customHeight="1" x14ac:dyDescent="0.2">
      <c r="A45" s="13" t="s">
        <v>60</v>
      </c>
      <c r="B45" s="14" t="s">
        <v>61</v>
      </c>
      <c r="C45" s="15" t="s">
        <v>62</v>
      </c>
      <c r="D45" s="16" t="s">
        <v>49</v>
      </c>
      <c r="E45" s="17">
        <v>1</v>
      </c>
      <c r="F45" s="7">
        <v>0.72727272730000003</v>
      </c>
      <c r="G45" s="16" t="s">
        <v>50</v>
      </c>
      <c r="H45" s="16">
        <v>8</v>
      </c>
      <c r="I45" s="12"/>
      <c r="J45" s="9">
        <f>IFERROR(LOOKUP(2,1/(I38:I45&lt;&gt;""),I38:I45),"—")</f>
        <v>0.31</v>
      </c>
      <c r="K45" s="10">
        <f t="shared" si="2"/>
        <v>42.624999998401556</v>
      </c>
      <c r="L45" s="11">
        <f t="shared" si="3"/>
        <v>1</v>
      </c>
    </row>
    <row r="46" spans="1:12" ht="18" customHeight="1" x14ac:dyDescent="0.2">
      <c r="A46" s="13" t="s">
        <v>60</v>
      </c>
      <c r="B46" s="14" t="s">
        <v>61</v>
      </c>
      <c r="C46" s="15" t="s">
        <v>62</v>
      </c>
      <c r="D46" s="16" t="s">
        <v>49</v>
      </c>
      <c r="E46" s="17">
        <v>1</v>
      </c>
      <c r="F46" s="7">
        <v>0.81818181820000002</v>
      </c>
      <c r="G46" s="16" t="s">
        <v>51</v>
      </c>
      <c r="H46" s="16">
        <v>9</v>
      </c>
      <c r="I46" s="12"/>
      <c r="J46" s="9">
        <f>IFERROR(LOOKUP(2,1/(I38:I46&lt;&gt;""),I38:I46),"—")</f>
        <v>0.31</v>
      </c>
      <c r="K46" s="10">
        <f t="shared" si="2"/>
        <v>37.888888888046914</v>
      </c>
      <c r="L46" s="11">
        <f t="shared" si="3"/>
        <v>1</v>
      </c>
    </row>
    <row r="47" spans="1:12" ht="18" customHeight="1" x14ac:dyDescent="0.2">
      <c r="A47" s="13" t="s">
        <v>60</v>
      </c>
      <c r="B47" s="14" t="s">
        <v>61</v>
      </c>
      <c r="C47" s="15" t="s">
        <v>62</v>
      </c>
      <c r="D47" s="16" t="s">
        <v>49</v>
      </c>
      <c r="E47" s="17">
        <v>1</v>
      </c>
      <c r="F47" s="7">
        <v>0.90909090910000001</v>
      </c>
      <c r="G47" s="16" t="s">
        <v>52</v>
      </c>
      <c r="H47" s="16">
        <v>10</v>
      </c>
      <c r="I47" s="12"/>
      <c r="J47" s="9">
        <f>IFERROR(LOOKUP(2,1/(I38:I47&lt;&gt;""),I38:I47),"—")</f>
        <v>0.31</v>
      </c>
      <c r="K47" s="10">
        <f t="shared" si="2"/>
        <v>34.099999999658998</v>
      </c>
      <c r="L47" s="11">
        <f t="shared" si="3"/>
        <v>1</v>
      </c>
    </row>
    <row r="48" spans="1:12" ht="18" customHeight="1" x14ac:dyDescent="0.2">
      <c r="A48" s="13" t="s">
        <v>60</v>
      </c>
      <c r="B48" s="14" t="s">
        <v>61</v>
      </c>
      <c r="C48" s="15" t="s">
        <v>62</v>
      </c>
      <c r="D48" s="16" t="s">
        <v>49</v>
      </c>
      <c r="E48" s="17">
        <v>1</v>
      </c>
      <c r="F48" s="7">
        <v>1</v>
      </c>
      <c r="G48" s="16" t="s">
        <v>53</v>
      </c>
      <c r="H48" s="16">
        <v>11</v>
      </c>
      <c r="I48" s="12"/>
      <c r="J48" s="9">
        <f>IFERROR(LOOKUP(2,1/(I38:I48&lt;&gt;""),I38:I48),"—")</f>
        <v>0.31</v>
      </c>
      <c r="K48" s="10">
        <f t="shared" si="2"/>
        <v>31</v>
      </c>
      <c r="L48" s="11">
        <f t="shared" si="3"/>
        <v>1</v>
      </c>
    </row>
    <row r="49" spans="1:12" ht="18" customHeight="1" x14ac:dyDescent="0.2">
      <c r="A49" s="2" t="s">
        <v>63</v>
      </c>
      <c r="B49" s="3" t="s">
        <v>64</v>
      </c>
      <c r="C49" s="4" t="s">
        <v>65</v>
      </c>
      <c r="D49" s="5" t="s">
        <v>49</v>
      </c>
      <c r="E49" s="6">
        <v>1</v>
      </c>
      <c r="F49" s="7">
        <v>9.0909090900000003E-2</v>
      </c>
      <c r="G49" s="5" t="s">
        <v>17</v>
      </c>
      <c r="H49" s="5">
        <v>1</v>
      </c>
      <c r="I49" s="8">
        <v>0.14000000000000001</v>
      </c>
      <c r="J49" s="9">
        <f>IFERROR(LOOKUP(2,1/(I49:I49&lt;&gt;""),I49:I49),"—")</f>
        <v>0.14000000000000001</v>
      </c>
      <c r="K49" s="10">
        <f t="shared" si="2"/>
        <v>154.00000001540002</v>
      </c>
      <c r="L49" s="11">
        <f t="shared" si="3"/>
        <v>3</v>
      </c>
    </row>
    <row r="50" spans="1:12" ht="18" customHeight="1" x14ac:dyDescent="0.2">
      <c r="A50" s="2" t="s">
        <v>63</v>
      </c>
      <c r="B50" s="3" t="s">
        <v>64</v>
      </c>
      <c r="C50" s="4" t="s">
        <v>65</v>
      </c>
      <c r="D50" s="5" t="s">
        <v>49</v>
      </c>
      <c r="E50" s="6">
        <v>1</v>
      </c>
      <c r="F50" s="7">
        <v>0.18181818180000001</v>
      </c>
      <c r="G50" s="5" t="s">
        <v>18</v>
      </c>
      <c r="H50" s="5">
        <v>2</v>
      </c>
      <c r="I50" s="12"/>
      <c r="J50" s="9">
        <f>IFERROR(LOOKUP(2,1/(I49:I50&lt;&gt;""),I49:I50),"—")</f>
        <v>0.14000000000000001</v>
      </c>
      <c r="K50" s="10">
        <f t="shared" si="2"/>
        <v>77.00000000770001</v>
      </c>
      <c r="L50" s="11">
        <f t="shared" si="3"/>
        <v>1</v>
      </c>
    </row>
    <row r="51" spans="1:12" ht="18" customHeight="1" x14ac:dyDescent="0.2">
      <c r="A51" s="2" t="s">
        <v>63</v>
      </c>
      <c r="B51" s="3" t="s">
        <v>64</v>
      </c>
      <c r="C51" s="4" t="s">
        <v>65</v>
      </c>
      <c r="D51" s="5" t="s">
        <v>49</v>
      </c>
      <c r="E51" s="6">
        <v>1</v>
      </c>
      <c r="F51" s="7">
        <v>0.27272727270000002</v>
      </c>
      <c r="G51" s="5" t="s">
        <v>19</v>
      </c>
      <c r="H51" s="5">
        <v>3</v>
      </c>
      <c r="I51" s="12"/>
      <c r="J51" s="9">
        <f>IFERROR(LOOKUP(2,1/(I49:I51&lt;&gt;""),I49:I51),"—")</f>
        <v>0.14000000000000001</v>
      </c>
      <c r="K51" s="10">
        <f t="shared" si="2"/>
        <v>51.333333338466666</v>
      </c>
      <c r="L51" s="11">
        <f t="shared" si="3"/>
        <v>1</v>
      </c>
    </row>
    <row r="52" spans="1:12" ht="18" customHeight="1" x14ac:dyDescent="0.2">
      <c r="A52" s="2" t="s">
        <v>63</v>
      </c>
      <c r="B52" s="3" t="s">
        <v>64</v>
      </c>
      <c r="C52" s="4" t="s">
        <v>65</v>
      </c>
      <c r="D52" s="5" t="s">
        <v>49</v>
      </c>
      <c r="E52" s="6">
        <v>1</v>
      </c>
      <c r="F52" s="7">
        <v>0.36363636360000001</v>
      </c>
      <c r="G52" s="5" t="s">
        <v>20</v>
      </c>
      <c r="H52" s="5">
        <v>4</v>
      </c>
      <c r="I52" s="12"/>
      <c r="J52" s="9">
        <f>IFERROR(LOOKUP(2,1/(I49:I52&lt;&gt;""),I49:I52),"—")</f>
        <v>0.14000000000000001</v>
      </c>
      <c r="K52" s="10">
        <f t="shared" si="2"/>
        <v>38.500000003850005</v>
      </c>
      <c r="L52" s="11">
        <f t="shared" si="3"/>
        <v>1</v>
      </c>
    </row>
    <row r="53" spans="1:12" ht="18" customHeight="1" x14ac:dyDescent="0.2">
      <c r="A53" s="2" t="s">
        <v>63</v>
      </c>
      <c r="B53" s="3" t="s">
        <v>64</v>
      </c>
      <c r="C53" s="4" t="s">
        <v>65</v>
      </c>
      <c r="D53" s="5" t="s">
        <v>49</v>
      </c>
      <c r="E53" s="6">
        <v>1</v>
      </c>
      <c r="F53" s="7">
        <v>0.4545454545</v>
      </c>
      <c r="G53" s="5" t="s">
        <v>21</v>
      </c>
      <c r="H53" s="5">
        <v>5</v>
      </c>
      <c r="I53" s="12"/>
      <c r="J53" s="9">
        <f>IFERROR(LOOKUP(2,1/(I49:I53&lt;&gt;""),I49:I53),"—")</f>
        <v>0.14000000000000001</v>
      </c>
      <c r="K53" s="10">
        <f t="shared" si="2"/>
        <v>30.800000003080001</v>
      </c>
      <c r="L53" s="11">
        <f t="shared" si="3"/>
        <v>1</v>
      </c>
    </row>
    <row r="54" spans="1:12" ht="18" customHeight="1" x14ac:dyDescent="0.2">
      <c r="A54" s="2" t="s">
        <v>63</v>
      </c>
      <c r="B54" s="3" t="s">
        <v>64</v>
      </c>
      <c r="C54" s="4" t="s">
        <v>65</v>
      </c>
      <c r="D54" s="5" t="s">
        <v>49</v>
      </c>
      <c r="E54" s="6">
        <v>1</v>
      </c>
      <c r="F54" s="7">
        <v>0.54545454550000005</v>
      </c>
      <c r="G54" s="5" t="s">
        <v>22</v>
      </c>
      <c r="H54" s="5">
        <v>6</v>
      </c>
      <c r="I54" s="12"/>
      <c r="J54" s="9">
        <f>IFERROR(LOOKUP(2,1/(I49:I54&lt;&gt;""),I49:I54),"—")</f>
        <v>0.14000000000000001</v>
      </c>
      <c r="K54" s="10">
        <f t="shared" si="2"/>
        <v>25.666666664527778</v>
      </c>
      <c r="L54" s="11">
        <f t="shared" si="3"/>
        <v>1</v>
      </c>
    </row>
    <row r="55" spans="1:12" ht="18" customHeight="1" x14ac:dyDescent="0.2">
      <c r="A55" s="2" t="s">
        <v>63</v>
      </c>
      <c r="B55" s="3" t="s">
        <v>64</v>
      </c>
      <c r="C55" s="4" t="s">
        <v>65</v>
      </c>
      <c r="D55" s="5" t="s">
        <v>49</v>
      </c>
      <c r="E55" s="6">
        <v>1</v>
      </c>
      <c r="F55" s="7">
        <v>0.63636363640000004</v>
      </c>
      <c r="G55" s="5" t="s">
        <v>23</v>
      </c>
      <c r="H55" s="5">
        <v>7</v>
      </c>
      <c r="I55" s="12"/>
      <c r="J55" s="9">
        <f>IFERROR(LOOKUP(2,1/(I49:I55&lt;&gt;""),I49:I55),"—")</f>
        <v>0.14000000000000001</v>
      </c>
      <c r="K55" s="10">
        <f t="shared" si="2"/>
        <v>21.999999998742858</v>
      </c>
      <c r="L55" s="11">
        <f t="shared" si="3"/>
        <v>1</v>
      </c>
    </row>
    <row r="56" spans="1:12" ht="18" customHeight="1" x14ac:dyDescent="0.2">
      <c r="A56" s="2" t="s">
        <v>63</v>
      </c>
      <c r="B56" s="3" t="s">
        <v>64</v>
      </c>
      <c r="C56" s="4" t="s">
        <v>65</v>
      </c>
      <c r="D56" s="5" t="s">
        <v>49</v>
      </c>
      <c r="E56" s="6">
        <v>1</v>
      </c>
      <c r="F56" s="7">
        <v>0.72727272730000003</v>
      </c>
      <c r="G56" s="5" t="s">
        <v>50</v>
      </c>
      <c r="H56" s="5">
        <v>8</v>
      </c>
      <c r="I56" s="12"/>
      <c r="J56" s="9">
        <f>IFERROR(LOOKUP(2,1/(I49:I56&lt;&gt;""),I49:I56),"—")</f>
        <v>0.14000000000000001</v>
      </c>
      <c r="K56" s="10">
        <f t="shared" si="2"/>
        <v>19.249999999278124</v>
      </c>
      <c r="L56" s="11">
        <f t="shared" si="3"/>
        <v>1</v>
      </c>
    </row>
    <row r="57" spans="1:12" ht="18" customHeight="1" x14ac:dyDescent="0.2">
      <c r="A57" s="2" t="s">
        <v>63</v>
      </c>
      <c r="B57" s="3" t="s">
        <v>64</v>
      </c>
      <c r="C57" s="4" t="s">
        <v>65</v>
      </c>
      <c r="D57" s="5" t="s">
        <v>49</v>
      </c>
      <c r="E57" s="6">
        <v>1</v>
      </c>
      <c r="F57" s="7">
        <v>0.81818181820000002</v>
      </c>
      <c r="G57" s="5" t="s">
        <v>51</v>
      </c>
      <c r="H57" s="5">
        <v>9</v>
      </c>
      <c r="I57" s="12"/>
      <c r="J57" s="9">
        <f>IFERROR(LOOKUP(2,1/(I49:I57&lt;&gt;""),I49:I57),"—")</f>
        <v>0.14000000000000001</v>
      </c>
      <c r="K57" s="10">
        <f t="shared" si="2"/>
        <v>17.111111110730864</v>
      </c>
      <c r="L57" s="11">
        <f t="shared" si="3"/>
        <v>1</v>
      </c>
    </row>
    <row r="58" spans="1:12" ht="18" customHeight="1" x14ac:dyDescent="0.2">
      <c r="A58" s="2" t="s">
        <v>63</v>
      </c>
      <c r="B58" s="3" t="s">
        <v>64</v>
      </c>
      <c r="C58" s="4" t="s">
        <v>65</v>
      </c>
      <c r="D58" s="5" t="s">
        <v>49</v>
      </c>
      <c r="E58" s="6">
        <v>1</v>
      </c>
      <c r="F58" s="7">
        <v>0.90909090910000001</v>
      </c>
      <c r="G58" s="5" t="s">
        <v>52</v>
      </c>
      <c r="H58" s="5">
        <v>10</v>
      </c>
      <c r="I58" s="12"/>
      <c r="J58" s="9">
        <f>IFERROR(LOOKUP(2,1/(I49:I58&lt;&gt;""),I49:I58),"—")</f>
        <v>0.14000000000000001</v>
      </c>
      <c r="K58" s="10">
        <f t="shared" si="2"/>
        <v>15.399999999846001</v>
      </c>
      <c r="L58" s="11">
        <f t="shared" si="3"/>
        <v>1</v>
      </c>
    </row>
    <row r="59" spans="1:12" ht="18" customHeight="1" x14ac:dyDescent="0.2">
      <c r="A59" s="2" t="s">
        <v>63</v>
      </c>
      <c r="B59" s="3" t="s">
        <v>64</v>
      </c>
      <c r="C59" s="4" t="s">
        <v>65</v>
      </c>
      <c r="D59" s="5" t="s">
        <v>49</v>
      </c>
      <c r="E59" s="6">
        <v>1</v>
      </c>
      <c r="F59" s="7">
        <v>1</v>
      </c>
      <c r="G59" s="5" t="s">
        <v>53</v>
      </c>
      <c r="H59" s="5">
        <v>11</v>
      </c>
      <c r="I59" s="12"/>
      <c r="J59" s="9">
        <f>IFERROR(LOOKUP(2,1/(I49:I59&lt;&gt;""),I49:I59),"—")</f>
        <v>0.14000000000000001</v>
      </c>
      <c r="K59" s="10">
        <f t="shared" si="2"/>
        <v>14.000000000000002</v>
      </c>
      <c r="L59" s="11">
        <f t="shared" si="3"/>
        <v>1</v>
      </c>
    </row>
    <row r="60" spans="1:12" ht="18" customHeight="1" x14ac:dyDescent="0.2">
      <c r="A60" s="13" t="s">
        <v>66</v>
      </c>
      <c r="B60" s="14" t="s">
        <v>67</v>
      </c>
      <c r="C60" s="15" t="s">
        <v>68</v>
      </c>
      <c r="D60" s="16" t="s">
        <v>69</v>
      </c>
      <c r="E60" s="17">
        <v>1</v>
      </c>
      <c r="F60" s="7">
        <v>9.0909090900000003E-2</v>
      </c>
      <c r="G60" s="16" t="s">
        <v>17</v>
      </c>
      <c r="H60" s="16">
        <v>1</v>
      </c>
      <c r="I60" s="8">
        <v>0</v>
      </c>
      <c r="J60" s="9">
        <f>IFERROR(LOOKUP(2,1/(I60:I60&lt;&gt;""),I60:I60),"—")</f>
        <v>0</v>
      </c>
      <c r="K60" s="10">
        <f t="shared" si="2"/>
        <v>0</v>
      </c>
      <c r="L60" s="11">
        <f t="shared" si="3"/>
        <v>1</v>
      </c>
    </row>
    <row r="61" spans="1:12" ht="18" customHeight="1" x14ac:dyDescent="0.2">
      <c r="A61" s="13" t="s">
        <v>66</v>
      </c>
      <c r="B61" s="14" t="s">
        <v>67</v>
      </c>
      <c r="C61" s="15" t="s">
        <v>68</v>
      </c>
      <c r="D61" s="16" t="s">
        <v>69</v>
      </c>
      <c r="E61" s="17">
        <v>1</v>
      </c>
      <c r="F61" s="7">
        <v>0.18181818180000001</v>
      </c>
      <c r="G61" s="16" t="s">
        <v>18</v>
      </c>
      <c r="H61" s="16">
        <v>2</v>
      </c>
      <c r="I61" s="12"/>
      <c r="J61" s="9">
        <f>IFERROR(LOOKUP(2,1/(I60:I61&lt;&gt;""),I60:I61),"—")</f>
        <v>0</v>
      </c>
      <c r="K61" s="10">
        <f t="shared" si="2"/>
        <v>0</v>
      </c>
      <c r="L61" s="11">
        <f t="shared" si="3"/>
        <v>1</v>
      </c>
    </row>
    <row r="62" spans="1:12" ht="18" customHeight="1" x14ac:dyDescent="0.2">
      <c r="A62" s="13" t="s">
        <v>66</v>
      </c>
      <c r="B62" s="14" t="s">
        <v>67</v>
      </c>
      <c r="C62" s="15" t="s">
        <v>68</v>
      </c>
      <c r="D62" s="16" t="s">
        <v>69</v>
      </c>
      <c r="E62" s="17">
        <v>1</v>
      </c>
      <c r="F62" s="7">
        <v>0.27272727270000002</v>
      </c>
      <c r="G62" s="16" t="s">
        <v>19</v>
      </c>
      <c r="H62" s="16">
        <v>3</v>
      </c>
      <c r="I62" s="12"/>
      <c r="J62" s="9">
        <f>IFERROR(LOOKUP(2,1/(I60:I62&lt;&gt;""),I60:I62),"—")</f>
        <v>0</v>
      </c>
      <c r="K62" s="10">
        <f t="shared" si="2"/>
        <v>0</v>
      </c>
      <c r="L62" s="11">
        <f t="shared" si="3"/>
        <v>1</v>
      </c>
    </row>
    <row r="63" spans="1:12" ht="18" customHeight="1" x14ac:dyDescent="0.2">
      <c r="A63" s="13" t="s">
        <v>66</v>
      </c>
      <c r="B63" s="14" t="s">
        <v>67</v>
      </c>
      <c r="C63" s="15" t="s">
        <v>68</v>
      </c>
      <c r="D63" s="16" t="s">
        <v>69</v>
      </c>
      <c r="E63" s="17">
        <v>1</v>
      </c>
      <c r="F63" s="7">
        <v>0.36363636360000001</v>
      </c>
      <c r="G63" s="16" t="s">
        <v>20</v>
      </c>
      <c r="H63" s="16">
        <v>4</v>
      </c>
      <c r="I63" s="12"/>
      <c r="J63" s="9">
        <f>IFERROR(LOOKUP(2,1/(I60:I63&lt;&gt;""),I60:I63),"—")</f>
        <v>0</v>
      </c>
      <c r="K63" s="10">
        <f t="shared" si="2"/>
        <v>0</v>
      </c>
      <c r="L63" s="11">
        <f t="shared" si="3"/>
        <v>1</v>
      </c>
    </row>
    <row r="64" spans="1:12" ht="18" customHeight="1" x14ac:dyDescent="0.2">
      <c r="A64" s="13" t="s">
        <v>66</v>
      </c>
      <c r="B64" s="14" t="s">
        <v>67</v>
      </c>
      <c r="C64" s="15" t="s">
        <v>68</v>
      </c>
      <c r="D64" s="16" t="s">
        <v>69</v>
      </c>
      <c r="E64" s="17">
        <v>1</v>
      </c>
      <c r="F64" s="7">
        <v>0.4545454545</v>
      </c>
      <c r="G64" s="16" t="s">
        <v>21</v>
      </c>
      <c r="H64" s="16">
        <v>5</v>
      </c>
      <c r="I64" s="12"/>
      <c r="J64" s="9">
        <f>IFERROR(LOOKUP(2,1/(I60:I64&lt;&gt;""),I60:I64),"—")</f>
        <v>0</v>
      </c>
      <c r="K64" s="10">
        <f t="shared" si="2"/>
        <v>0</v>
      </c>
      <c r="L64" s="11">
        <f t="shared" si="3"/>
        <v>1</v>
      </c>
    </row>
    <row r="65" spans="1:12" ht="18" customHeight="1" x14ac:dyDescent="0.2">
      <c r="A65" s="13" t="s">
        <v>66</v>
      </c>
      <c r="B65" s="14" t="s">
        <v>67</v>
      </c>
      <c r="C65" s="15" t="s">
        <v>68</v>
      </c>
      <c r="D65" s="16" t="s">
        <v>69</v>
      </c>
      <c r="E65" s="17">
        <v>1</v>
      </c>
      <c r="F65" s="7">
        <v>0.54545454550000005</v>
      </c>
      <c r="G65" s="16" t="s">
        <v>22</v>
      </c>
      <c r="H65" s="16">
        <v>6</v>
      </c>
      <c r="I65" s="12"/>
      <c r="J65" s="9">
        <f>IFERROR(LOOKUP(2,1/(I60:I65&lt;&gt;""),I60:I65),"—")</f>
        <v>0</v>
      </c>
      <c r="K65" s="10">
        <f t="shared" si="2"/>
        <v>0</v>
      </c>
      <c r="L65" s="11">
        <f t="shared" si="3"/>
        <v>1</v>
      </c>
    </row>
    <row r="66" spans="1:12" ht="18" customHeight="1" x14ac:dyDescent="0.2">
      <c r="A66" s="13" t="s">
        <v>66</v>
      </c>
      <c r="B66" s="14" t="s">
        <v>67</v>
      </c>
      <c r="C66" s="15" t="s">
        <v>68</v>
      </c>
      <c r="D66" s="16" t="s">
        <v>69</v>
      </c>
      <c r="E66" s="17">
        <v>1</v>
      </c>
      <c r="F66" s="7">
        <v>0.63636363640000004</v>
      </c>
      <c r="G66" s="16" t="s">
        <v>23</v>
      </c>
      <c r="H66" s="16">
        <v>7</v>
      </c>
      <c r="I66" s="12"/>
      <c r="J66" s="9">
        <f>IFERROR(LOOKUP(2,1/(I60:I66&lt;&gt;""),I60:I66),"—")</f>
        <v>0</v>
      </c>
      <c r="K66" s="10">
        <f t="shared" si="2"/>
        <v>0</v>
      </c>
      <c r="L66" s="11">
        <f t="shared" si="3"/>
        <v>1</v>
      </c>
    </row>
    <row r="67" spans="1:12" ht="18" customHeight="1" x14ac:dyDescent="0.2">
      <c r="A67" s="13" t="s">
        <v>66</v>
      </c>
      <c r="B67" s="14" t="s">
        <v>67</v>
      </c>
      <c r="C67" s="15" t="s">
        <v>68</v>
      </c>
      <c r="D67" s="16" t="s">
        <v>69</v>
      </c>
      <c r="E67" s="17">
        <v>1</v>
      </c>
      <c r="F67" s="7">
        <v>0.72727272730000003</v>
      </c>
      <c r="G67" s="16" t="s">
        <v>50</v>
      </c>
      <c r="H67" s="16">
        <v>8</v>
      </c>
      <c r="I67" s="12"/>
      <c r="J67" s="9">
        <f>IFERROR(LOOKUP(2,1/(I60:I67&lt;&gt;""),I60:I67),"—")</f>
        <v>0</v>
      </c>
      <c r="K67" s="10">
        <f t="shared" si="2"/>
        <v>0</v>
      </c>
      <c r="L67" s="11">
        <f t="shared" si="3"/>
        <v>1</v>
      </c>
    </row>
    <row r="68" spans="1:12" ht="18" customHeight="1" x14ac:dyDescent="0.2">
      <c r="A68" s="13" t="s">
        <v>66</v>
      </c>
      <c r="B68" s="14" t="s">
        <v>67</v>
      </c>
      <c r="C68" s="15" t="s">
        <v>68</v>
      </c>
      <c r="D68" s="16" t="s">
        <v>69</v>
      </c>
      <c r="E68" s="17">
        <v>1</v>
      </c>
      <c r="F68" s="7">
        <v>0.81818181820000002</v>
      </c>
      <c r="G68" s="16" t="s">
        <v>51</v>
      </c>
      <c r="H68" s="16">
        <v>9</v>
      </c>
      <c r="I68" s="12"/>
      <c r="J68" s="9">
        <f>IFERROR(LOOKUP(2,1/(I60:I68&lt;&gt;""),I60:I68),"—")</f>
        <v>0</v>
      </c>
      <c r="K68" s="10">
        <f t="shared" si="2"/>
        <v>0</v>
      </c>
      <c r="L68" s="11">
        <f t="shared" si="3"/>
        <v>1</v>
      </c>
    </row>
    <row r="69" spans="1:12" ht="18" customHeight="1" x14ac:dyDescent="0.2">
      <c r="A69" s="13" t="s">
        <v>66</v>
      </c>
      <c r="B69" s="14" t="s">
        <v>67</v>
      </c>
      <c r="C69" s="15" t="s">
        <v>68</v>
      </c>
      <c r="D69" s="16" t="s">
        <v>69</v>
      </c>
      <c r="E69" s="17">
        <v>1</v>
      </c>
      <c r="F69" s="7">
        <v>0.90909090910000001</v>
      </c>
      <c r="G69" s="16" t="s">
        <v>52</v>
      </c>
      <c r="H69" s="16">
        <v>10</v>
      </c>
      <c r="I69" s="12"/>
      <c r="J69" s="9">
        <f>IFERROR(LOOKUP(2,1/(I60:I69&lt;&gt;""),I60:I69),"—")</f>
        <v>0</v>
      </c>
      <c r="K69" s="10">
        <f t="shared" ref="K69:K100" si="4">IFERROR(IF(OR(J69="—",F69=0),"",J69/F69*100),"—")</f>
        <v>0</v>
      </c>
      <c r="L69" s="11">
        <f t="shared" ref="L69:L100" si="5">IFERROR(IF(K69="","",IF(K69&gt;=95,3,IF(K69&gt;=80,2,1))),"—")</f>
        <v>1</v>
      </c>
    </row>
    <row r="70" spans="1:12" ht="18" customHeight="1" x14ac:dyDescent="0.2">
      <c r="A70" s="13" t="s">
        <v>66</v>
      </c>
      <c r="B70" s="14" t="s">
        <v>67</v>
      </c>
      <c r="C70" s="15" t="s">
        <v>68</v>
      </c>
      <c r="D70" s="16" t="s">
        <v>69</v>
      </c>
      <c r="E70" s="17">
        <v>1</v>
      </c>
      <c r="F70" s="7">
        <v>1</v>
      </c>
      <c r="G70" s="16" t="s">
        <v>53</v>
      </c>
      <c r="H70" s="16">
        <v>11</v>
      </c>
      <c r="I70" s="12"/>
      <c r="J70" s="9">
        <f>IFERROR(LOOKUP(2,1/(I60:I70&lt;&gt;""),I60:I70),"—")</f>
        <v>0</v>
      </c>
      <c r="K70" s="10">
        <f t="shared" si="4"/>
        <v>0</v>
      </c>
      <c r="L70" s="11">
        <f t="shared" si="5"/>
        <v>1</v>
      </c>
    </row>
    <row r="71" spans="1:12" ht="18" customHeight="1" x14ac:dyDescent="0.2">
      <c r="A71" s="2" t="s">
        <v>70</v>
      </c>
      <c r="B71" s="3" t="s">
        <v>71</v>
      </c>
      <c r="C71" s="4" t="s">
        <v>72</v>
      </c>
      <c r="D71" s="5" t="s">
        <v>73</v>
      </c>
      <c r="E71" s="6">
        <v>1</v>
      </c>
      <c r="F71" s="7">
        <v>9.0909090900000003E-2</v>
      </c>
      <c r="G71" s="5" t="s">
        <v>17</v>
      </c>
      <c r="H71" s="5">
        <v>1</v>
      </c>
      <c r="I71" s="8">
        <v>0</v>
      </c>
      <c r="J71" s="9">
        <f>IFERROR(LOOKUP(2,1/(I71:I71&lt;&gt;""),I71:I71),"—")</f>
        <v>0</v>
      </c>
      <c r="K71" s="10">
        <f t="shared" si="4"/>
        <v>0</v>
      </c>
      <c r="L71" s="11">
        <f t="shared" si="5"/>
        <v>1</v>
      </c>
    </row>
    <row r="72" spans="1:12" ht="18" customHeight="1" x14ac:dyDescent="0.2">
      <c r="A72" s="2" t="s">
        <v>70</v>
      </c>
      <c r="B72" s="3" t="s">
        <v>71</v>
      </c>
      <c r="C72" s="4" t="s">
        <v>72</v>
      </c>
      <c r="D72" s="5" t="s">
        <v>73</v>
      </c>
      <c r="E72" s="6">
        <v>1</v>
      </c>
      <c r="F72" s="7">
        <v>0.18181818180000001</v>
      </c>
      <c r="G72" s="5" t="s">
        <v>18</v>
      </c>
      <c r="H72" s="5">
        <v>2</v>
      </c>
      <c r="I72" s="12"/>
      <c r="J72" s="9">
        <f>IFERROR(LOOKUP(2,1/(I71:I72&lt;&gt;""),I71:I72),"—")</f>
        <v>0</v>
      </c>
      <c r="K72" s="10">
        <f t="shared" si="4"/>
        <v>0</v>
      </c>
      <c r="L72" s="11">
        <f t="shared" si="5"/>
        <v>1</v>
      </c>
    </row>
    <row r="73" spans="1:12" ht="18" customHeight="1" x14ac:dyDescent="0.2">
      <c r="A73" s="2" t="s">
        <v>70</v>
      </c>
      <c r="B73" s="3" t="s">
        <v>71</v>
      </c>
      <c r="C73" s="4" t="s">
        <v>72</v>
      </c>
      <c r="D73" s="5" t="s">
        <v>73</v>
      </c>
      <c r="E73" s="6">
        <v>1</v>
      </c>
      <c r="F73" s="7">
        <v>0.27272727270000002</v>
      </c>
      <c r="G73" s="5" t="s">
        <v>19</v>
      </c>
      <c r="H73" s="5">
        <v>3</v>
      </c>
      <c r="I73" s="12"/>
      <c r="J73" s="9">
        <f>IFERROR(LOOKUP(2,1/(I71:I73&lt;&gt;""),I71:I73),"—")</f>
        <v>0</v>
      </c>
      <c r="K73" s="10">
        <f t="shared" si="4"/>
        <v>0</v>
      </c>
      <c r="L73" s="11">
        <f t="shared" si="5"/>
        <v>1</v>
      </c>
    </row>
    <row r="74" spans="1:12" ht="18" customHeight="1" x14ac:dyDescent="0.2">
      <c r="A74" s="2" t="s">
        <v>70</v>
      </c>
      <c r="B74" s="3" t="s">
        <v>71</v>
      </c>
      <c r="C74" s="4" t="s">
        <v>72</v>
      </c>
      <c r="D74" s="5" t="s">
        <v>73</v>
      </c>
      <c r="E74" s="6">
        <v>1</v>
      </c>
      <c r="F74" s="7">
        <v>0.36363636360000001</v>
      </c>
      <c r="G74" s="5" t="s">
        <v>20</v>
      </c>
      <c r="H74" s="5">
        <v>4</v>
      </c>
      <c r="I74" s="12"/>
      <c r="J74" s="9">
        <f>IFERROR(LOOKUP(2,1/(I71:I74&lt;&gt;""),I71:I74),"—")</f>
        <v>0</v>
      </c>
      <c r="K74" s="10">
        <f t="shared" si="4"/>
        <v>0</v>
      </c>
      <c r="L74" s="11">
        <f t="shared" si="5"/>
        <v>1</v>
      </c>
    </row>
    <row r="75" spans="1:12" ht="18" customHeight="1" x14ac:dyDescent="0.2">
      <c r="A75" s="2" t="s">
        <v>70</v>
      </c>
      <c r="B75" s="3" t="s">
        <v>71</v>
      </c>
      <c r="C75" s="4" t="s">
        <v>72</v>
      </c>
      <c r="D75" s="5" t="s">
        <v>73</v>
      </c>
      <c r="E75" s="6">
        <v>1</v>
      </c>
      <c r="F75" s="7">
        <v>0.4545454545</v>
      </c>
      <c r="G75" s="5" t="s">
        <v>21</v>
      </c>
      <c r="H75" s="5">
        <v>5</v>
      </c>
      <c r="I75" s="12"/>
      <c r="J75" s="9">
        <f>IFERROR(LOOKUP(2,1/(I71:I75&lt;&gt;""),I71:I75),"—")</f>
        <v>0</v>
      </c>
      <c r="K75" s="10">
        <f t="shared" si="4"/>
        <v>0</v>
      </c>
      <c r="L75" s="11">
        <f t="shared" si="5"/>
        <v>1</v>
      </c>
    </row>
    <row r="76" spans="1:12" ht="18" customHeight="1" x14ac:dyDescent="0.2">
      <c r="A76" s="2" t="s">
        <v>70</v>
      </c>
      <c r="B76" s="3" t="s">
        <v>71</v>
      </c>
      <c r="C76" s="4" t="s">
        <v>72</v>
      </c>
      <c r="D76" s="5" t="s">
        <v>73</v>
      </c>
      <c r="E76" s="6">
        <v>1</v>
      </c>
      <c r="F76" s="7">
        <v>0.54545454550000005</v>
      </c>
      <c r="G76" s="5" t="s">
        <v>22</v>
      </c>
      <c r="H76" s="5">
        <v>6</v>
      </c>
      <c r="I76" s="12"/>
      <c r="J76" s="9">
        <f>IFERROR(LOOKUP(2,1/(I71:I76&lt;&gt;""),I71:I76),"—")</f>
        <v>0</v>
      </c>
      <c r="K76" s="10">
        <f t="shared" si="4"/>
        <v>0</v>
      </c>
      <c r="L76" s="11">
        <f t="shared" si="5"/>
        <v>1</v>
      </c>
    </row>
    <row r="77" spans="1:12" ht="18" customHeight="1" x14ac:dyDescent="0.2">
      <c r="A77" s="2" t="s">
        <v>70</v>
      </c>
      <c r="B77" s="3" t="s">
        <v>71</v>
      </c>
      <c r="C77" s="4" t="s">
        <v>72</v>
      </c>
      <c r="D77" s="5" t="s">
        <v>73</v>
      </c>
      <c r="E77" s="6">
        <v>1</v>
      </c>
      <c r="F77" s="7">
        <v>0.63636363640000004</v>
      </c>
      <c r="G77" s="5" t="s">
        <v>23</v>
      </c>
      <c r="H77" s="5">
        <v>7</v>
      </c>
      <c r="I77" s="12"/>
      <c r="J77" s="9">
        <f>IFERROR(LOOKUP(2,1/(I71:I77&lt;&gt;""),I71:I77),"—")</f>
        <v>0</v>
      </c>
      <c r="K77" s="10">
        <f t="shared" si="4"/>
        <v>0</v>
      </c>
      <c r="L77" s="11">
        <f t="shared" si="5"/>
        <v>1</v>
      </c>
    </row>
    <row r="78" spans="1:12" ht="18" customHeight="1" x14ac:dyDescent="0.2">
      <c r="A78" s="2" t="s">
        <v>70</v>
      </c>
      <c r="B78" s="3" t="s">
        <v>71</v>
      </c>
      <c r="C78" s="4" t="s">
        <v>72</v>
      </c>
      <c r="D78" s="5" t="s">
        <v>73</v>
      </c>
      <c r="E78" s="6">
        <v>1</v>
      </c>
      <c r="F78" s="7">
        <v>0.72727272730000003</v>
      </c>
      <c r="G78" s="5" t="s">
        <v>50</v>
      </c>
      <c r="H78" s="5">
        <v>8</v>
      </c>
      <c r="I78" s="12"/>
      <c r="J78" s="9">
        <f>IFERROR(LOOKUP(2,1/(I71:I78&lt;&gt;""),I71:I78),"—")</f>
        <v>0</v>
      </c>
      <c r="K78" s="10">
        <f t="shared" si="4"/>
        <v>0</v>
      </c>
      <c r="L78" s="11">
        <f t="shared" si="5"/>
        <v>1</v>
      </c>
    </row>
    <row r="79" spans="1:12" ht="18" customHeight="1" x14ac:dyDescent="0.2">
      <c r="A79" s="2" t="s">
        <v>70</v>
      </c>
      <c r="B79" s="3" t="s">
        <v>71</v>
      </c>
      <c r="C79" s="4" t="s">
        <v>72</v>
      </c>
      <c r="D79" s="5" t="s">
        <v>73</v>
      </c>
      <c r="E79" s="6">
        <v>1</v>
      </c>
      <c r="F79" s="7">
        <v>0.81818181820000002</v>
      </c>
      <c r="G79" s="5" t="s">
        <v>51</v>
      </c>
      <c r="H79" s="5">
        <v>9</v>
      </c>
      <c r="I79" s="12"/>
      <c r="J79" s="9">
        <f>IFERROR(LOOKUP(2,1/(I71:I79&lt;&gt;""),I71:I79),"—")</f>
        <v>0</v>
      </c>
      <c r="K79" s="10">
        <f t="shared" si="4"/>
        <v>0</v>
      </c>
      <c r="L79" s="11">
        <f t="shared" si="5"/>
        <v>1</v>
      </c>
    </row>
    <row r="80" spans="1:12" ht="18" customHeight="1" x14ac:dyDescent="0.2">
      <c r="A80" s="2" t="s">
        <v>70</v>
      </c>
      <c r="B80" s="3" t="s">
        <v>71</v>
      </c>
      <c r="C80" s="4" t="s">
        <v>72</v>
      </c>
      <c r="D80" s="5" t="s">
        <v>73</v>
      </c>
      <c r="E80" s="6">
        <v>1</v>
      </c>
      <c r="F80" s="7">
        <v>0.90909090910000001</v>
      </c>
      <c r="G80" s="5" t="s">
        <v>52</v>
      </c>
      <c r="H80" s="5">
        <v>10</v>
      </c>
      <c r="I80" s="12"/>
      <c r="J80" s="9">
        <f>IFERROR(LOOKUP(2,1/(I71:I80&lt;&gt;""),I71:I80),"—")</f>
        <v>0</v>
      </c>
      <c r="K80" s="10">
        <f t="shared" si="4"/>
        <v>0</v>
      </c>
      <c r="L80" s="11">
        <f t="shared" si="5"/>
        <v>1</v>
      </c>
    </row>
    <row r="81" spans="1:12" ht="18" customHeight="1" x14ac:dyDescent="0.2">
      <c r="A81" s="2" t="s">
        <v>70</v>
      </c>
      <c r="B81" s="3" t="s">
        <v>71</v>
      </c>
      <c r="C81" s="4" t="s">
        <v>72</v>
      </c>
      <c r="D81" s="5" t="s">
        <v>73</v>
      </c>
      <c r="E81" s="6">
        <v>1</v>
      </c>
      <c r="F81" s="7">
        <v>1</v>
      </c>
      <c r="G81" s="5" t="s">
        <v>53</v>
      </c>
      <c r="H81" s="5">
        <v>11</v>
      </c>
      <c r="I81" s="12"/>
      <c r="J81" s="9">
        <f>IFERROR(LOOKUP(2,1/(I71:I81&lt;&gt;""),I71:I81),"—")</f>
        <v>0</v>
      </c>
      <c r="K81" s="10">
        <f t="shared" si="4"/>
        <v>0</v>
      </c>
      <c r="L81" s="11">
        <f t="shared" si="5"/>
        <v>1</v>
      </c>
    </row>
    <row r="82" spans="1:12" ht="18" customHeight="1" x14ac:dyDescent="0.2">
      <c r="A82" s="13" t="s">
        <v>74</v>
      </c>
      <c r="B82" s="14" t="s">
        <v>75</v>
      </c>
      <c r="C82" s="15" t="s">
        <v>76</v>
      </c>
      <c r="D82" s="16" t="s">
        <v>77</v>
      </c>
      <c r="E82" s="17">
        <v>1</v>
      </c>
      <c r="F82" s="7">
        <v>9.0909090900000003E-2</v>
      </c>
      <c r="G82" s="16" t="s">
        <v>17</v>
      </c>
      <c r="H82" s="16">
        <v>1</v>
      </c>
      <c r="I82" s="8">
        <v>0</v>
      </c>
      <c r="J82" s="9">
        <f>IFERROR(LOOKUP(2,1/(I82:I82&lt;&gt;""),I82:I82),"—")</f>
        <v>0</v>
      </c>
      <c r="K82" s="10">
        <f t="shared" si="4"/>
        <v>0</v>
      </c>
      <c r="L82" s="11">
        <f t="shared" si="5"/>
        <v>1</v>
      </c>
    </row>
    <row r="83" spans="1:12" ht="18" customHeight="1" x14ac:dyDescent="0.2">
      <c r="A83" s="13" t="s">
        <v>74</v>
      </c>
      <c r="B83" s="14" t="s">
        <v>75</v>
      </c>
      <c r="C83" s="15" t="s">
        <v>76</v>
      </c>
      <c r="D83" s="16" t="s">
        <v>77</v>
      </c>
      <c r="E83" s="17">
        <v>1</v>
      </c>
      <c r="F83" s="7">
        <v>0.18181818180000001</v>
      </c>
      <c r="G83" s="16" t="s">
        <v>18</v>
      </c>
      <c r="H83" s="16">
        <v>2</v>
      </c>
      <c r="I83" s="12"/>
      <c r="J83" s="9">
        <f>IFERROR(LOOKUP(2,1/(I82:I83&lt;&gt;""),I82:I83),"—")</f>
        <v>0</v>
      </c>
      <c r="K83" s="10">
        <f t="shared" si="4"/>
        <v>0</v>
      </c>
      <c r="L83" s="11">
        <f t="shared" si="5"/>
        <v>1</v>
      </c>
    </row>
    <row r="84" spans="1:12" ht="18" customHeight="1" x14ac:dyDescent="0.2">
      <c r="A84" s="13" t="s">
        <v>74</v>
      </c>
      <c r="B84" s="14" t="s">
        <v>75</v>
      </c>
      <c r="C84" s="15" t="s">
        <v>76</v>
      </c>
      <c r="D84" s="16" t="s">
        <v>77</v>
      </c>
      <c r="E84" s="17">
        <v>1</v>
      </c>
      <c r="F84" s="7">
        <v>0.27272727270000002</v>
      </c>
      <c r="G84" s="16" t="s">
        <v>19</v>
      </c>
      <c r="H84" s="16">
        <v>3</v>
      </c>
      <c r="I84" s="12"/>
      <c r="J84" s="9">
        <f>IFERROR(LOOKUP(2,1/(I82:I84&lt;&gt;""),I82:I84),"—")</f>
        <v>0</v>
      </c>
      <c r="K84" s="10">
        <f t="shared" si="4"/>
        <v>0</v>
      </c>
      <c r="L84" s="11">
        <f t="shared" si="5"/>
        <v>1</v>
      </c>
    </row>
    <row r="85" spans="1:12" ht="18" customHeight="1" x14ac:dyDescent="0.2">
      <c r="A85" s="13" t="s">
        <v>74</v>
      </c>
      <c r="B85" s="14" t="s">
        <v>75</v>
      </c>
      <c r="C85" s="15" t="s">
        <v>76</v>
      </c>
      <c r="D85" s="16" t="s">
        <v>77</v>
      </c>
      <c r="E85" s="17">
        <v>1</v>
      </c>
      <c r="F85" s="7">
        <v>0.36363636360000001</v>
      </c>
      <c r="G85" s="16" t="s">
        <v>20</v>
      </c>
      <c r="H85" s="16">
        <v>4</v>
      </c>
      <c r="I85" s="12"/>
      <c r="J85" s="9">
        <f>IFERROR(LOOKUP(2,1/(I82:I85&lt;&gt;""),I82:I85),"—")</f>
        <v>0</v>
      </c>
      <c r="K85" s="10">
        <f t="shared" si="4"/>
        <v>0</v>
      </c>
      <c r="L85" s="11">
        <f t="shared" si="5"/>
        <v>1</v>
      </c>
    </row>
    <row r="86" spans="1:12" ht="18" customHeight="1" x14ac:dyDescent="0.2">
      <c r="A86" s="13" t="s">
        <v>74</v>
      </c>
      <c r="B86" s="14" t="s">
        <v>75</v>
      </c>
      <c r="C86" s="15" t="s">
        <v>76</v>
      </c>
      <c r="D86" s="16" t="s">
        <v>77</v>
      </c>
      <c r="E86" s="17">
        <v>1</v>
      </c>
      <c r="F86" s="7">
        <v>0.4545454545</v>
      </c>
      <c r="G86" s="16" t="s">
        <v>21</v>
      </c>
      <c r="H86" s="16">
        <v>5</v>
      </c>
      <c r="I86" s="12"/>
      <c r="J86" s="9">
        <f>IFERROR(LOOKUP(2,1/(I82:I86&lt;&gt;""),I82:I86),"—")</f>
        <v>0</v>
      </c>
      <c r="K86" s="10">
        <f t="shared" si="4"/>
        <v>0</v>
      </c>
      <c r="L86" s="11">
        <f t="shared" si="5"/>
        <v>1</v>
      </c>
    </row>
    <row r="87" spans="1:12" ht="18" customHeight="1" x14ac:dyDescent="0.2">
      <c r="A87" s="13" t="s">
        <v>74</v>
      </c>
      <c r="B87" s="14" t="s">
        <v>75</v>
      </c>
      <c r="C87" s="15" t="s">
        <v>76</v>
      </c>
      <c r="D87" s="16" t="s">
        <v>77</v>
      </c>
      <c r="E87" s="17">
        <v>1</v>
      </c>
      <c r="F87" s="7">
        <v>0.54545454550000005</v>
      </c>
      <c r="G87" s="16" t="s">
        <v>22</v>
      </c>
      <c r="H87" s="16">
        <v>6</v>
      </c>
      <c r="I87" s="12"/>
      <c r="J87" s="9">
        <f>IFERROR(LOOKUP(2,1/(I82:I87&lt;&gt;""),I82:I87),"—")</f>
        <v>0</v>
      </c>
      <c r="K87" s="10">
        <f t="shared" si="4"/>
        <v>0</v>
      </c>
      <c r="L87" s="11">
        <f t="shared" si="5"/>
        <v>1</v>
      </c>
    </row>
    <row r="88" spans="1:12" ht="18" customHeight="1" x14ac:dyDescent="0.2">
      <c r="A88" s="13" t="s">
        <v>74</v>
      </c>
      <c r="B88" s="14" t="s">
        <v>75</v>
      </c>
      <c r="C88" s="15" t="s">
        <v>76</v>
      </c>
      <c r="D88" s="16" t="s">
        <v>77</v>
      </c>
      <c r="E88" s="17">
        <v>1</v>
      </c>
      <c r="F88" s="7">
        <v>0.63636363640000004</v>
      </c>
      <c r="G88" s="16" t="s">
        <v>23</v>
      </c>
      <c r="H88" s="16">
        <v>7</v>
      </c>
      <c r="I88" s="12"/>
      <c r="J88" s="9">
        <f>IFERROR(LOOKUP(2,1/(I82:I88&lt;&gt;""),I82:I88),"—")</f>
        <v>0</v>
      </c>
      <c r="K88" s="10">
        <f t="shared" si="4"/>
        <v>0</v>
      </c>
      <c r="L88" s="11">
        <f t="shared" si="5"/>
        <v>1</v>
      </c>
    </row>
    <row r="89" spans="1:12" ht="18" customHeight="1" x14ac:dyDescent="0.2">
      <c r="A89" s="13" t="s">
        <v>74</v>
      </c>
      <c r="B89" s="14" t="s">
        <v>75</v>
      </c>
      <c r="C89" s="15" t="s">
        <v>76</v>
      </c>
      <c r="D89" s="16" t="s">
        <v>77</v>
      </c>
      <c r="E89" s="17">
        <v>1</v>
      </c>
      <c r="F89" s="7">
        <v>0.72727272730000003</v>
      </c>
      <c r="G89" s="16" t="s">
        <v>50</v>
      </c>
      <c r="H89" s="16">
        <v>8</v>
      </c>
      <c r="I89" s="12"/>
      <c r="J89" s="9">
        <f>IFERROR(LOOKUP(2,1/(I82:I89&lt;&gt;""),I82:I89),"—")</f>
        <v>0</v>
      </c>
      <c r="K89" s="10">
        <f t="shared" si="4"/>
        <v>0</v>
      </c>
      <c r="L89" s="11">
        <f t="shared" si="5"/>
        <v>1</v>
      </c>
    </row>
    <row r="90" spans="1:12" ht="18" customHeight="1" x14ac:dyDescent="0.2">
      <c r="A90" s="13" t="s">
        <v>74</v>
      </c>
      <c r="B90" s="14" t="s">
        <v>75</v>
      </c>
      <c r="C90" s="15" t="s">
        <v>76</v>
      </c>
      <c r="D90" s="16" t="s">
        <v>77</v>
      </c>
      <c r="E90" s="17">
        <v>1</v>
      </c>
      <c r="F90" s="7">
        <v>0.81818181820000002</v>
      </c>
      <c r="G90" s="16" t="s">
        <v>51</v>
      </c>
      <c r="H90" s="16">
        <v>9</v>
      </c>
      <c r="I90" s="12"/>
      <c r="J90" s="9">
        <f>IFERROR(LOOKUP(2,1/(I82:I90&lt;&gt;""),I82:I90),"—")</f>
        <v>0</v>
      </c>
      <c r="K90" s="10">
        <f t="shared" si="4"/>
        <v>0</v>
      </c>
      <c r="L90" s="11">
        <f t="shared" si="5"/>
        <v>1</v>
      </c>
    </row>
    <row r="91" spans="1:12" ht="18" customHeight="1" x14ac:dyDescent="0.2">
      <c r="A91" s="13" t="s">
        <v>74</v>
      </c>
      <c r="B91" s="14" t="s">
        <v>75</v>
      </c>
      <c r="C91" s="15" t="s">
        <v>76</v>
      </c>
      <c r="D91" s="16" t="s">
        <v>77</v>
      </c>
      <c r="E91" s="17">
        <v>1</v>
      </c>
      <c r="F91" s="7">
        <v>0.90909090910000001</v>
      </c>
      <c r="G91" s="16" t="s">
        <v>52</v>
      </c>
      <c r="H91" s="16">
        <v>10</v>
      </c>
      <c r="I91" s="12"/>
      <c r="J91" s="9">
        <f>IFERROR(LOOKUP(2,1/(I82:I91&lt;&gt;""),I82:I91),"—")</f>
        <v>0</v>
      </c>
      <c r="K91" s="10">
        <f t="shared" si="4"/>
        <v>0</v>
      </c>
      <c r="L91" s="11">
        <f t="shared" si="5"/>
        <v>1</v>
      </c>
    </row>
    <row r="92" spans="1:12" ht="18" customHeight="1" x14ac:dyDescent="0.2">
      <c r="A92" s="13" t="s">
        <v>74</v>
      </c>
      <c r="B92" s="14" t="s">
        <v>75</v>
      </c>
      <c r="C92" s="15" t="s">
        <v>76</v>
      </c>
      <c r="D92" s="16" t="s">
        <v>77</v>
      </c>
      <c r="E92" s="17">
        <v>1</v>
      </c>
      <c r="F92" s="7">
        <v>1</v>
      </c>
      <c r="G92" s="16" t="s">
        <v>53</v>
      </c>
      <c r="H92" s="16">
        <v>11</v>
      </c>
      <c r="I92" s="12"/>
      <c r="J92" s="9">
        <f>IFERROR(LOOKUP(2,1/(I82:I92&lt;&gt;""),I82:I92),"—")</f>
        <v>0</v>
      </c>
      <c r="K92" s="10">
        <f t="shared" si="4"/>
        <v>0</v>
      </c>
      <c r="L92" s="11">
        <f t="shared" si="5"/>
        <v>1</v>
      </c>
    </row>
    <row r="93" spans="1:12" ht="18" customHeight="1" x14ac:dyDescent="0.2">
      <c r="A93" s="2" t="s">
        <v>78</v>
      </c>
      <c r="B93" s="3" t="s">
        <v>79</v>
      </c>
      <c r="C93" s="4" t="s">
        <v>80</v>
      </c>
      <c r="D93" s="5" t="s">
        <v>81</v>
      </c>
      <c r="E93" s="6">
        <v>1</v>
      </c>
      <c r="F93" s="7">
        <v>9.0909090900000003E-2</v>
      </c>
      <c r="G93" s="5" t="s">
        <v>17</v>
      </c>
      <c r="H93" s="5">
        <v>1</v>
      </c>
      <c r="I93" s="8">
        <v>0</v>
      </c>
      <c r="J93" s="9">
        <f>IFERROR(LOOKUP(2,1/(I93:I93&lt;&gt;""),I93:I93),"—")</f>
        <v>0</v>
      </c>
      <c r="K93" s="10">
        <f t="shared" si="4"/>
        <v>0</v>
      </c>
      <c r="L93" s="11">
        <f t="shared" si="5"/>
        <v>1</v>
      </c>
    </row>
    <row r="94" spans="1:12" ht="18" customHeight="1" x14ac:dyDescent="0.2">
      <c r="A94" s="2" t="s">
        <v>78</v>
      </c>
      <c r="B94" s="3" t="s">
        <v>79</v>
      </c>
      <c r="C94" s="4" t="s">
        <v>80</v>
      </c>
      <c r="D94" s="5" t="s">
        <v>81</v>
      </c>
      <c r="E94" s="6">
        <v>1</v>
      </c>
      <c r="F94" s="7">
        <v>0.18181818180000001</v>
      </c>
      <c r="G94" s="5" t="s">
        <v>18</v>
      </c>
      <c r="H94" s="5">
        <v>2</v>
      </c>
      <c r="I94" s="12"/>
      <c r="J94" s="9">
        <f>IFERROR(LOOKUP(2,1/(I93:I94&lt;&gt;""),I93:I94),"—")</f>
        <v>0</v>
      </c>
      <c r="K94" s="10">
        <f t="shared" si="4"/>
        <v>0</v>
      </c>
      <c r="L94" s="11">
        <f t="shared" si="5"/>
        <v>1</v>
      </c>
    </row>
    <row r="95" spans="1:12" ht="18" customHeight="1" x14ac:dyDescent="0.2">
      <c r="A95" s="2" t="s">
        <v>78</v>
      </c>
      <c r="B95" s="3" t="s">
        <v>79</v>
      </c>
      <c r="C95" s="4" t="s">
        <v>80</v>
      </c>
      <c r="D95" s="5" t="s">
        <v>81</v>
      </c>
      <c r="E95" s="6">
        <v>1</v>
      </c>
      <c r="F95" s="7">
        <v>0.27272727270000002</v>
      </c>
      <c r="G95" s="5" t="s">
        <v>19</v>
      </c>
      <c r="H95" s="5">
        <v>3</v>
      </c>
      <c r="I95" s="12"/>
      <c r="J95" s="9">
        <f>IFERROR(LOOKUP(2,1/(I93:I95&lt;&gt;""),I93:I95),"—")</f>
        <v>0</v>
      </c>
      <c r="K95" s="10">
        <f t="shared" si="4"/>
        <v>0</v>
      </c>
      <c r="L95" s="11">
        <f t="shared" si="5"/>
        <v>1</v>
      </c>
    </row>
    <row r="96" spans="1:12" ht="18" customHeight="1" x14ac:dyDescent="0.2">
      <c r="A96" s="2" t="s">
        <v>78</v>
      </c>
      <c r="B96" s="3" t="s">
        <v>79</v>
      </c>
      <c r="C96" s="4" t="s">
        <v>80</v>
      </c>
      <c r="D96" s="5" t="s">
        <v>81</v>
      </c>
      <c r="E96" s="6">
        <v>1</v>
      </c>
      <c r="F96" s="7">
        <v>0.36363636360000001</v>
      </c>
      <c r="G96" s="5" t="s">
        <v>20</v>
      </c>
      <c r="H96" s="5">
        <v>4</v>
      </c>
      <c r="I96" s="12"/>
      <c r="J96" s="9">
        <f>IFERROR(LOOKUP(2,1/(I93:I96&lt;&gt;""),I93:I96),"—")</f>
        <v>0</v>
      </c>
      <c r="K96" s="10">
        <f t="shared" si="4"/>
        <v>0</v>
      </c>
      <c r="L96" s="11">
        <f t="shared" si="5"/>
        <v>1</v>
      </c>
    </row>
    <row r="97" spans="1:12" ht="18" customHeight="1" x14ac:dyDescent="0.2">
      <c r="A97" s="2" t="s">
        <v>78</v>
      </c>
      <c r="B97" s="3" t="s">
        <v>79</v>
      </c>
      <c r="C97" s="4" t="s">
        <v>80</v>
      </c>
      <c r="D97" s="5" t="s">
        <v>81</v>
      </c>
      <c r="E97" s="6">
        <v>1</v>
      </c>
      <c r="F97" s="7">
        <v>0.4545454545</v>
      </c>
      <c r="G97" s="5" t="s">
        <v>21</v>
      </c>
      <c r="H97" s="5">
        <v>5</v>
      </c>
      <c r="I97" s="12"/>
      <c r="J97" s="9">
        <f>IFERROR(LOOKUP(2,1/(I93:I97&lt;&gt;""),I93:I97),"—")</f>
        <v>0</v>
      </c>
      <c r="K97" s="10">
        <f t="shared" si="4"/>
        <v>0</v>
      </c>
      <c r="L97" s="11">
        <f t="shared" si="5"/>
        <v>1</v>
      </c>
    </row>
    <row r="98" spans="1:12" ht="18" customHeight="1" x14ac:dyDescent="0.2">
      <c r="A98" s="2" t="s">
        <v>78</v>
      </c>
      <c r="B98" s="3" t="s">
        <v>79</v>
      </c>
      <c r="C98" s="4" t="s">
        <v>80</v>
      </c>
      <c r="D98" s="5" t="s">
        <v>81</v>
      </c>
      <c r="E98" s="6">
        <v>1</v>
      </c>
      <c r="F98" s="7">
        <v>0.54545454550000005</v>
      </c>
      <c r="G98" s="5" t="s">
        <v>22</v>
      </c>
      <c r="H98" s="5">
        <v>6</v>
      </c>
      <c r="I98" s="12"/>
      <c r="J98" s="9">
        <f>IFERROR(LOOKUP(2,1/(I93:I98&lt;&gt;""),I93:I98),"—")</f>
        <v>0</v>
      </c>
      <c r="K98" s="10">
        <f t="shared" si="4"/>
        <v>0</v>
      </c>
      <c r="L98" s="11">
        <f t="shared" si="5"/>
        <v>1</v>
      </c>
    </row>
    <row r="99" spans="1:12" ht="18" customHeight="1" x14ac:dyDescent="0.2">
      <c r="A99" s="2" t="s">
        <v>78</v>
      </c>
      <c r="B99" s="3" t="s">
        <v>79</v>
      </c>
      <c r="C99" s="4" t="s">
        <v>80</v>
      </c>
      <c r="D99" s="5" t="s">
        <v>81</v>
      </c>
      <c r="E99" s="6">
        <v>1</v>
      </c>
      <c r="F99" s="7">
        <v>0.63636363640000004</v>
      </c>
      <c r="G99" s="5" t="s">
        <v>23</v>
      </c>
      <c r="H99" s="5">
        <v>7</v>
      </c>
      <c r="I99" s="12"/>
      <c r="J99" s="9">
        <f>IFERROR(LOOKUP(2,1/(I93:I99&lt;&gt;""),I93:I99),"—")</f>
        <v>0</v>
      </c>
      <c r="K99" s="10">
        <f t="shared" si="4"/>
        <v>0</v>
      </c>
      <c r="L99" s="11">
        <f t="shared" si="5"/>
        <v>1</v>
      </c>
    </row>
    <row r="100" spans="1:12" ht="18" customHeight="1" x14ac:dyDescent="0.2">
      <c r="A100" s="2" t="s">
        <v>78</v>
      </c>
      <c r="B100" s="3" t="s">
        <v>79</v>
      </c>
      <c r="C100" s="4" t="s">
        <v>80</v>
      </c>
      <c r="D100" s="5" t="s">
        <v>81</v>
      </c>
      <c r="E100" s="6">
        <v>1</v>
      </c>
      <c r="F100" s="7">
        <v>0.72727272730000003</v>
      </c>
      <c r="G100" s="5" t="s">
        <v>50</v>
      </c>
      <c r="H100" s="5">
        <v>8</v>
      </c>
      <c r="I100" s="12"/>
      <c r="J100" s="9">
        <f>IFERROR(LOOKUP(2,1/(I93:I100&lt;&gt;""),I93:I100),"—")</f>
        <v>0</v>
      </c>
      <c r="K100" s="10">
        <f t="shared" si="4"/>
        <v>0</v>
      </c>
      <c r="L100" s="11">
        <f t="shared" si="5"/>
        <v>1</v>
      </c>
    </row>
    <row r="101" spans="1:12" ht="18" customHeight="1" x14ac:dyDescent="0.2">
      <c r="A101" s="2" t="s">
        <v>78</v>
      </c>
      <c r="B101" s="3" t="s">
        <v>79</v>
      </c>
      <c r="C101" s="4" t="s">
        <v>80</v>
      </c>
      <c r="D101" s="5" t="s">
        <v>81</v>
      </c>
      <c r="E101" s="6">
        <v>1</v>
      </c>
      <c r="F101" s="7">
        <v>0.81818181820000002</v>
      </c>
      <c r="G101" s="5" t="s">
        <v>51</v>
      </c>
      <c r="H101" s="5">
        <v>9</v>
      </c>
      <c r="I101" s="12"/>
      <c r="J101" s="9">
        <f>IFERROR(LOOKUP(2,1/(I93:I101&lt;&gt;""),I93:I101),"—")</f>
        <v>0</v>
      </c>
      <c r="K101" s="10">
        <f t="shared" ref="K101:K132" si="6">IFERROR(IF(OR(J101="—",F101=0),"",J101/F101*100),"—")</f>
        <v>0</v>
      </c>
      <c r="L101" s="11">
        <f t="shared" ref="L101:L132" si="7">IFERROR(IF(K101="","",IF(K101&gt;=95,3,IF(K101&gt;=80,2,1))),"—")</f>
        <v>1</v>
      </c>
    </row>
    <row r="102" spans="1:12" ht="18" customHeight="1" x14ac:dyDescent="0.2">
      <c r="A102" s="2" t="s">
        <v>78</v>
      </c>
      <c r="B102" s="3" t="s">
        <v>79</v>
      </c>
      <c r="C102" s="4" t="s">
        <v>80</v>
      </c>
      <c r="D102" s="5" t="s">
        <v>81</v>
      </c>
      <c r="E102" s="6">
        <v>1</v>
      </c>
      <c r="F102" s="7">
        <v>0.90909090910000001</v>
      </c>
      <c r="G102" s="5" t="s">
        <v>52</v>
      </c>
      <c r="H102" s="5">
        <v>10</v>
      </c>
      <c r="I102" s="12"/>
      <c r="J102" s="9">
        <f>IFERROR(LOOKUP(2,1/(I93:I102&lt;&gt;""),I93:I102),"—")</f>
        <v>0</v>
      </c>
      <c r="K102" s="10">
        <f t="shared" si="6"/>
        <v>0</v>
      </c>
      <c r="L102" s="11">
        <f t="shared" si="7"/>
        <v>1</v>
      </c>
    </row>
    <row r="103" spans="1:12" ht="18" customHeight="1" x14ac:dyDescent="0.2">
      <c r="A103" s="2" t="s">
        <v>78</v>
      </c>
      <c r="B103" s="3" t="s">
        <v>79</v>
      </c>
      <c r="C103" s="4" t="s">
        <v>80</v>
      </c>
      <c r="D103" s="5" t="s">
        <v>81</v>
      </c>
      <c r="E103" s="6">
        <v>1</v>
      </c>
      <c r="F103" s="7">
        <v>1</v>
      </c>
      <c r="G103" s="5" t="s">
        <v>53</v>
      </c>
      <c r="H103" s="5">
        <v>11</v>
      </c>
      <c r="I103" s="12"/>
      <c r="J103" s="9">
        <f>IFERROR(LOOKUP(2,1/(I93:I103&lt;&gt;""),I93:I103),"—")</f>
        <v>0</v>
      </c>
      <c r="K103" s="10">
        <f t="shared" si="6"/>
        <v>0</v>
      </c>
      <c r="L103" s="11">
        <f t="shared" si="7"/>
        <v>1</v>
      </c>
    </row>
    <row r="104" spans="1:12" ht="18" customHeight="1" x14ac:dyDescent="0.2">
      <c r="A104" s="13" t="s">
        <v>82</v>
      </c>
      <c r="B104" s="14" t="s">
        <v>83</v>
      </c>
      <c r="C104" s="15" t="s">
        <v>84</v>
      </c>
      <c r="D104" s="16" t="s">
        <v>85</v>
      </c>
      <c r="E104" s="17">
        <v>1</v>
      </c>
      <c r="F104" s="7">
        <v>9.0909090900000003E-2</v>
      </c>
      <c r="G104" s="16" t="s">
        <v>17</v>
      </c>
      <c r="H104" s="16">
        <v>1</v>
      </c>
      <c r="I104" s="8">
        <v>9.0909090900000003E-2</v>
      </c>
      <c r="J104" s="9">
        <f>IFERROR(LOOKUP(2,1/(I104:I104&lt;&gt;""),I104:I104),"—")</f>
        <v>9.0909090900000003E-2</v>
      </c>
      <c r="K104" s="10">
        <f t="shared" si="6"/>
        <v>100</v>
      </c>
      <c r="L104" s="11">
        <f t="shared" si="7"/>
        <v>3</v>
      </c>
    </row>
    <row r="105" spans="1:12" ht="18" customHeight="1" x14ac:dyDescent="0.2">
      <c r="A105" s="13" t="s">
        <v>82</v>
      </c>
      <c r="B105" s="14" t="s">
        <v>83</v>
      </c>
      <c r="C105" s="15" t="s">
        <v>84</v>
      </c>
      <c r="D105" s="16" t="s">
        <v>85</v>
      </c>
      <c r="E105" s="17">
        <v>1</v>
      </c>
      <c r="F105" s="7">
        <v>0.18181818180000001</v>
      </c>
      <c r="G105" s="16" t="s">
        <v>18</v>
      </c>
      <c r="H105" s="16">
        <v>2</v>
      </c>
      <c r="I105" s="12"/>
      <c r="J105" s="9">
        <f>IFERROR(LOOKUP(2,1/(I104:I105&lt;&gt;""),I104:I105),"—")</f>
        <v>9.0909090900000003E-2</v>
      </c>
      <c r="K105" s="10">
        <f t="shared" si="6"/>
        <v>50</v>
      </c>
      <c r="L105" s="11">
        <f t="shared" si="7"/>
        <v>1</v>
      </c>
    </row>
    <row r="106" spans="1:12" ht="18" customHeight="1" x14ac:dyDescent="0.2">
      <c r="A106" s="13" t="s">
        <v>82</v>
      </c>
      <c r="B106" s="14" t="s">
        <v>83</v>
      </c>
      <c r="C106" s="15" t="s">
        <v>84</v>
      </c>
      <c r="D106" s="16" t="s">
        <v>85</v>
      </c>
      <c r="E106" s="17">
        <v>1</v>
      </c>
      <c r="F106" s="7">
        <v>0.27272727270000002</v>
      </c>
      <c r="G106" s="16" t="s">
        <v>19</v>
      </c>
      <c r="H106" s="16">
        <v>3</v>
      </c>
      <c r="I106" s="12"/>
      <c r="J106" s="9">
        <f>IFERROR(LOOKUP(2,1/(I104:I106&lt;&gt;""),I104:I106),"—")</f>
        <v>9.0909090900000003E-2</v>
      </c>
      <c r="K106" s="10">
        <f t="shared" si="6"/>
        <v>33.333333333333329</v>
      </c>
      <c r="L106" s="11">
        <f t="shared" si="7"/>
        <v>1</v>
      </c>
    </row>
    <row r="107" spans="1:12" ht="18" customHeight="1" x14ac:dyDescent="0.2">
      <c r="A107" s="13" t="s">
        <v>82</v>
      </c>
      <c r="B107" s="14" t="s">
        <v>83</v>
      </c>
      <c r="C107" s="15" t="s">
        <v>84</v>
      </c>
      <c r="D107" s="16" t="s">
        <v>85</v>
      </c>
      <c r="E107" s="17">
        <v>1</v>
      </c>
      <c r="F107" s="7">
        <v>0.36363636360000001</v>
      </c>
      <c r="G107" s="16" t="s">
        <v>20</v>
      </c>
      <c r="H107" s="16">
        <v>4</v>
      </c>
      <c r="I107" s="12"/>
      <c r="J107" s="9">
        <f>IFERROR(LOOKUP(2,1/(I104:I107&lt;&gt;""),I104:I107),"—")</f>
        <v>9.0909090900000003E-2</v>
      </c>
      <c r="K107" s="10">
        <f t="shared" si="6"/>
        <v>25</v>
      </c>
      <c r="L107" s="11">
        <f t="shared" si="7"/>
        <v>1</v>
      </c>
    </row>
    <row r="108" spans="1:12" ht="18" customHeight="1" x14ac:dyDescent="0.2">
      <c r="A108" s="13" t="s">
        <v>82</v>
      </c>
      <c r="B108" s="14" t="s">
        <v>83</v>
      </c>
      <c r="C108" s="15" t="s">
        <v>84</v>
      </c>
      <c r="D108" s="16" t="s">
        <v>85</v>
      </c>
      <c r="E108" s="17">
        <v>1</v>
      </c>
      <c r="F108" s="7">
        <v>0.4545454545</v>
      </c>
      <c r="G108" s="16" t="s">
        <v>21</v>
      </c>
      <c r="H108" s="16">
        <v>5</v>
      </c>
      <c r="I108" s="12"/>
      <c r="J108" s="9">
        <f>IFERROR(LOOKUP(2,1/(I104:I108&lt;&gt;""),I104:I108),"—")</f>
        <v>9.0909090900000003E-2</v>
      </c>
      <c r="K108" s="10">
        <f t="shared" si="6"/>
        <v>20</v>
      </c>
      <c r="L108" s="11">
        <f t="shared" si="7"/>
        <v>1</v>
      </c>
    </row>
    <row r="109" spans="1:12" ht="18" customHeight="1" x14ac:dyDescent="0.2">
      <c r="A109" s="13" t="s">
        <v>82</v>
      </c>
      <c r="B109" s="14" t="s">
        <v>83</v>
      </c>
      <c r="C109" s="15" t="s">
        <v>84</v>
      </c>
      <c r="D109" s="16" t="s">
        <v>85</v>
      </c>
      <c r="E109" s="17">
        <v>1</v>
      </c>
      <c r="F109" s="7">
        <v>0.54545454550000005</v>
      </c>
      <c r="G109" s="16" t="s">
        <v>22</v>
      </c>
      <c r="H109" s="16">
        <v>6</v>
      </c>
      <c r="I109" s="12"/>
      <c r="J109" s="9">
        <f>IFERROR(LOOKUP(2,1/(I104:I109&lt;&gt;""),I104:I109),"—")</f>
        <v>9.0909090900000003E-2</v>
      </c>
      <c r="K109" s="10">
        <f t="shared" si="6"/>
        <v>16.66666666361111</v>
      </c>
      <c r="L109" s="11">
        <f t="shared" si="7"/>
        <v>1</v>
      </c>
    </row>
    <row r="110" spans="1:12" ht="18" customHeight="1" x14ac:dyDescent="0.2">
      <c r="A110" s="13" t="s">
        <v>82</v>
      </c>
      <c r="B110" s="14" t="s">
        <v>83</v>
      </c>
      <c r="C110" s="15" t="s">
        <v>84</v>
      </c>
      <c r="D110" s="16" t="s">
        <v>85</v>
      </c>
      <c r="E110" s="17">
        <v>1</v>
      </c>
      <c r="F110" s="7">
        <v>0.63636363640000004</v>
      </c>
      <c r="G110" s="16" t="s">
        <v>23</v>
      </c>
      <c r="H110" s="16">
        <v>7</v>
      </c>
      <c r="I110" s="12"/>
      <c r="J110" s="9">
        <f>IFERROR(LOOKUP(2,1/(I104:I110&lt;&gt;""),I104:I110),"—")</f>
        <v>9.0909090900000003E-2</v>
      </c>
      <c r="K110" s="10">
        <f t="shared" si="6"/>
        <v>14.285714283469385</v>
      </c>
      <c r="L110" s="11">
        <f t="shared" si="7"/>
        <v>1</v>
      </c>
    </row>
    <row r="111" spans="1:12" ht="18" customHeight="1" x14ac:dyDescent="0.2">
      <c r="A111" s="13" t="s">
        <v>82</v>
      </c>
      <c r="B111" s="14" t="s">
        <v>83</v>
      </c>
      <c r="C111" s="15" t="s">
        <v>84</v>
      </c>
      <c r="D111" s="16" t="s">
        <v>85</v>
      </c>
      <c r="E111" s="17">
        <v>1</v>
      </c>
      <c r="F111" s="7">
        <v>0.72727272730000003</v>
      </c>
      <c r="G111" s="16" t="s">
        <v>50</v>
      </c>
      <c r="H111" s="16">
        <v>8</v>
      </c>
      <c r="I111" s="12"/>
      <c r="J111" s="9">
        <f>IFERROR(LOOKUP(2,1/(I104:I111&lt;&gt;""),I104:I111),"—")</f>
        <v>9.0909090900000003E-2</v>
      </c>
      <c r="K111" s="10">
        <f t="shared" si="6"/>
        <v>12.49999999828125</v>
      </c>
      <c r="L111" s="11">
        <f t="shared" si="7"/>
        <v>1</v>
      </c>
    </row>
    <row r="112" spans="1:12" ht="18" customHeight="1" x14ac:dyDescent="0.2">
      <c r="A112" s="13" t="s">
        <v>82</v>
      </c>
      <c r="B112" s="14" t="s">
        <v>83</v>
      </c>
      <c r="C112" s="15" t="s">
        <v>84</v>
      </c>
      <c r="D112" s="16" t="s">
        <v>85</v>
      </c>
      <c r="E112" s="17">
        <v>1</v>
      </c>
      <c r="F112" s="7">
        <v>0.81818181820000002</v>
      </c>
      <c r="G112" s="16" t="s">
        <v>51</v>
      </c>
      <c r="H112" s="16">
        <v>9</v>
      </c>
      <c r="I112" s="12"/>
      <c r="J112" s="9">
        <f>IFERROR(LOOKUP(2,1/(I104:I112&lt;&gt;""),I104:I112),"—")</f>
        <v>9.0909090900000003E-2</v>
      </c>
      <c r="K112" s="10">
        <f t="shared" si="6"/>
        <v>11.111111109753088</v>
      </c>
      <c r="L112" s="11">
        <f t="shared" si="7"/>
        <v>1</v>
      </c>
    </row>
    <row r="113" spans="1:12" ht="18" customHeight="1" x14ac:dyDescent="0.2">
      <c r="A113" s="13" t="s">
        <v>82</v>
      </c>
      <c r="B113" s="14" t="s">
        <v>83</v>
      </c>
      <c r="C113" s="15" t="s">
        <v>84</v>
      </c>
      <c r="D113" s="16" t="s">
        <v>85</v>
      </c>
      <c r="E113" s="17">
        <v>1</v>
      </c>
      <c r="F113" s="7">
        <v>0.90909090910000001</v>
      </c>
      <c r="G113" s="16" t="s">
        <v>52</v>
      </c>
      <c r="H113" s="16">
        <v>10</v>
      </c>
      <c r="I113" s="12"/>
      <c r="J113" s="9">
        <f>IFERROR(LOOKUP(2,1/(I104:I113&lt;&gt;""),I104:I113),"—")</f>
        <v>9.0909090900000003E-2</v>
      </c>
      <c r="K113" s="10">
        <f t="shared" si="6"/>
        <v>9.9999999988999999</v>
      </c>
      <c r="L113" s="11">
        <f t="shared" si="7"/>
        <v>1</v>
      </c>
    </row>
    <row r="114" spans="1:12" ht="18" customHeight="1" x14ac:dyDescent="0.2">
      <c r="A114" s="13" t="s">
        <v>82</v>
      </c>
      <c r="B114" s="14" t="s">
        <v>83</v>
      </c>
      <c r="C114" s="15" t="s">
        <v>84</v>
      </c>
      <c r="D114" s="16" t="s">
        <v>85</v>
      </c>
      <c r="E114" s="17">
        <v>1</v>
      </c>
      <c r="F114" s="7">
        <v>1</v>
      </c>
      <c r="G114" s="16" t="s">
        <v>53</v>
      </c>
      <c r="H114" s="16">
        <v>11</v>
      </c>
      <c r="I114" s="12"/>
      <c r="J114" s="9">
        <f>IFERROR(LOOKUP(2,1/(I104:I114&lt;&gt;""),I104:I114),"—")</f>
        <v>9.0909090900000003E-2</v>
      </c>
      <c r="K114" s="10">
        <f t="shared" si="6"/>
        <v>9.0909090900000002</v>
      </c>
      <c r="L114" s="11">
        <f t="shared" si="7"/>
        <v>1</v>
      </c>
    </row>
    <row r="117" spans="1:12" ht="20" customHeight="1" x14ac:dyDescent="0.2">
      <c r="A117" s="69" t="s">
        <v>86</v>
      </c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</row>
    <row r="119" spans="1:12" ht="16" customHeight="1" x14ac:dyDescent="0.2">
      <c r="A119" s="72" t="s">
        <v>87</v>
      </c>
      <c r="B119" s="58"/>
      <c r="C119" s="18">
        <v>35819080605</v>
      </c>
      <c r="D119" s="74" t="s">
        <v>88</v>
      </c>
      <c r="E119" s="58"/>
      <c r="F119" s="58"/>
      <c r="G119" s="58"/>
    </row>
    <row r="120" spans="1:12" ht="24" customHeight="1" x14ac:dyDescent="0.2">
      <c r="A120" s="1" t="s">
        <v>42</v>
      </c>
      <c r="B120" s="1" t="s">
        <v>89</v>
      </c>
      <c r="C120" s="1" t="s">
        <v>90</v>
      </c>
      <c r="D120" s="1" t="s">
        <v>91</v>
      </c>
      <c r="E120" s="1" t="s">
        <v>92</v>
      </c>
      <c r="F120" s="1" t="s">
        <v>93</v>
      </c>
      <c r="G120" s="1" t="s">
        <v>10</v>
      </c>
    </row>
    <row r="121" spans="1:12" ht="18" customHeight="1" x14ac:dyDescent="0.2">
      <c r="A121" s="2" t="s">
        <v>13</v>
      </c>
      <c r="B121" s="5" t="s">
        <v>94</v>
      </c>
      <c r="C121" s="19">
        <v>0.06</v>
      </c>
      <c r="D121" s="24">
        <v>6.6699999999999995E-2</v>
      </c>
      <c r="E121" s="20">
        <f t="shared" ref="E121:E131" si="8">IFERROR(IF(D121="","",D121-C121),"")</f>
        <v>6.6999999999999976E-3</v>
      </c>
      <c r="F121" s="21">
        <f t="shared" ref="F121:F131" si="9">IFERROR(IF(D121="","",D121*$C$119),"")</f>
        <v>2389132676.3534999</v>
      </c>
      <c r="G121" s="5" t="str">
        <f t="shared" ref="G121:G131" si="10">IFERROR(IF(D121="","—",IF(E121&gt;=0,"▲ Adelantado",IF(E121&gt;=-0.05,"► En rango","▼ Rezagado"))),"—")</f>
        <v>▲ Adelantado</v>
      </c>
    </row>
    <row r="122" spans="1:12" ht="18" customHeight="1" x14ac:dyDescent="0.2">
      <c r="A122" s="11" t="s">
        <v>14</v>
      </c>
      <c r="B122" s="22" t="s">
        <v>95</v>
      </c>
      <c r="C122" s="19">
        <v>0.14000000000000001</v>
      </c>
      <c r="D122" s="24">
        <v>0.1326</v>
      </c>
      <c r="E122" s="23">
        <f t="shared" si="8"/>
        <v>-7.4000000000000177E-3</v>
      </c>
      <c r="F122" s="21">
        <f t="shared" si="9"/>
        <v>4749610088.2229996</v>
      </c>
      <c r="G122" s="22" t="str">
        <f t="shared" si="10"/>
        <v>► En rango</v>
      </c>
    </row>
    <row r="123" spans="1:12" ht="18" customHeight="1" x14ac:dyDescent="0.2">
      <c r="A123" s="2" t="s">
        <v>15</v>
      </c>
      <c r="B123" s="5" t="s">
        <v>96</v>
      </c>
      <c r="C123" s="19">
        <v>0.24</v>
      </c>
      <c r="D123" s="24">
        <v>0.33069999999999999</v>
      </c>
      <c r="E123" s="20">
        <f t="shared" si="8"/>
        <v>9.0700000000000003E-2</v>
      </c>
      <c r="F123" s="21">
        <f t="shared" si="9"/>
        <v>11845369956.0735</v>
      </c>
      <c r="G123" s="5" t="str">
        <f t="shared" si="10"/>
        <v>▲ Adelantado</v>
      </c>
    </row>
    <row r="124" spans="1:12" ht="18" customHeight="1" x14ac:dyDescent="0.2">
      <c r="A124" s="11" t="s">
        <v>16</v>
      </c>
      <c r="B124" s="22" t="s">
        <v>97</v>
      </c>
      <c r="C124" s="19">
        <v>0.36</v>
      </c>
      <c r="D124" s="24">
        <v>0.35399999999999998</v>
      </c>
      <c r="E124" s="23">
        <f t="shared" si="8"/>
        <v>-6.0000000000000053E-3</v>
      </c>
      <c r="F124" s="21">
        <f t="shared" si="9"/>
        <v>12679954534.17</v>
      </c>
      <c r="G124" s="22" t="str">
        <f t="shared" si="10"/>
        <v>► En rango</v>
      </c>
    </row>
    <row r="125" spans="1:12" ht="18" customHeight="1" x14ac:dyDescent="0.2">
      <c r="A125" s="2" t="s">
        <v>17</v>
      </c>
      <c r="B125" s="5" t="s">
        <v>98</v>
      </c>
      <c r="C125" s="19">
        <v>0.48</v>
      </c>
      <c r="D125" s="24">
        <v>0.39800000000000002</v>
      </c>
      <c r="E125" s="20">
        <f t="shared" si="8"/>
        <v>-8.1999999999999962E-2</v>
      </c>
      <c r="F125" s="21">
        <f t="shared" si="9"/>
        <v>14255994080.790001</v>
      </c>
      <c r="G125" s="5" t="str">
        <f t="shared" si="10"/>
        <v>▼ Rezagado</v>
      </c>
    </row>
    <row r="126" spans="1:12" ht="18" customHeight="1" x14ac:dyDescent="0.2">
      <c r="A126" s="11" t="s">
        <v>18</v>
      </c>
      <c r="B126" s="22" t="s">
        <v>99</v>
      </c>
      <c r="C126" s="19">
        <v>0.59</v>
      </c>
      <c r="D126" s="24"/>
      <c r="E126" s="23" t="str">
        <f t="shared" si="8"/>
        <v/>
      </c>
      <c r="F126" s="21" t="str">
        <f t="shared" si="9"/>
        <v/>
      </c>
      <c r="G126" s="22" t="str">
        <f t="shared" si="10"/>
        <v>—</v>
      </c>
    </row>
    <row r="127" spans="1:12" ht="18" customHeight="1" x14ac:dyDescent="0.2">
      <c r="A127" s="2" t="s">
        <v>19</v>
      </c>
      <c r="B127" s="5" t="s">
        <v>100</v>
      </c>
      <c r="C127" s="19">
        <v>0.7</v>
      </c>
      <c r="D127" s="24"/>
      <c r="E127" s="20" t="str">
        <f t="shared" si="8"/>
        <v/>
      </c>
      <c r="F127" s="21" t="str">
        <f t="shared" si="9"/>
        <v/>
      </c>
      <c r="G127" s="5" t="str">
        <f t="shared" si="10"/>
        <v>—</v>
      </c>
    </row>
    <row r="128" spans="1:12" ht="18" customHeight="1" x14ac:dyDescent="0.2">
      <c r="A128" s="11" t="s">
        <v>20</v>
      </c>
      <c r="B128" s="22" t="s">
        <v>101</v>
      </c>
      <c r="C128" s="19">
        <v>0.8</v>
      </c>
      <c r="D128" s="24"/>
      <c r="E128" s="23" t="str">
        <f t="shared" si="8"/>
        <v/>
      </c>
      <c r="F128" s="21" t="str">
        <f t="shared" si="9"/>
        <v/>
      </c>
      <c r="G128" s="22" t="str">
        <f t="shared" si="10"/>
        <v>—</v>
      </c>
    </row>
    <row r="129" spans="1:12" ht="18" customHeight="1" x14ac:dyDescent="0.2">
      <c r="A129" s="2" t="s">
        <v>21</v>
      </c>
      <c r="B129" s="5" t="s">
        <v>102</v>
      </c>
      <c r="C129" s="19">
        <v>0.88</v>
      </c>
      <c r="D129" s="24"/>
      <c r="E129" s="20" t="str">
        <f t="shared" si="8"/>
        <v/>
      </c>
      <c r="F129" s="21" t="str">
        <f t="shared" si="9"/>
        <v/>
      </c>
      <c r="G129" s="5" t="str">
        <f t="shared" si="10"/>
        <v>—</v>
      </c>
    </row>
    <row r="130" spans="1:12" ht="18" customHeight="1" x14ac:dyDescent="0.2">
      <c r="A130" s="11" t="s">
        <v>22</v>
      </c>
      <c r="B130" s="22" t="s">
        <v>103</v>
      </c>
      <c r="C130" s="19">
        <v>0.95</v>
      </c>
      <c r="D130" s="24"/>
      <c r="E130" s="23" t="str">
        <f t="shared" si="8"/>
        <v/>
      </c>
      <c r="F130" s="21" t="str">
        <f t="shared" si="9"/>
        <v/>
      </c>
      <c r="G130" s="22" t="str">
        <f t="shared" si="10"/>
        <v>—</v>
      </c>
    </row>
    <row r="131" spans="1:12" ht="18" customHeight="1" x14ac:dyDescent="0.2">
      <c r="A131" s="2" t="s">
        <v>23</v>
      </c>
      <c r="B131" s="5" t="s">
        <v>104</v>
      </c>
      <c r="C131" s="19">
        <v>1</v>
      </c>
      <c r="D131" s="24"/>
      <c r="E131" s="20" t="str">
        <f t="shared" si="8"/>
        <v/>
      </c>
      <c r="F131" s="21" t="str">
        <f t="shared" si="9"/>
        <v/>
      </c>
      <c r="G131" s="5" t="str">
        <f t="shared" si="10"/>
        <v>—</v>
      </c>
    </row>
    <row r="134" spans="1:12" ht="20" customHeight="1" x14ac:dyDescent="0.2">
      <c r="A134" s="68" t="s">
        <v>105</v>
      </c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</row>
    <row r="135" spans="1:12" ht="30" customHeight="1" x14ac:dyDescent="0.2">
      <c r="A135" s="1" t="s">
        <v>3</v>
      </c>
      <c r="B135" s="1" t="s">
        <v>30</v>
      </c>
      <c r="C135" s="1" t="s">
        <v>106</v>
      </c>
      <c r="D135" s="1" t="s">
        <v>5</v>
      </c>
      <c r="E135" s="1" t="s">
        <v>31</v>
      </c>
      <c r="F135" s="1" t="s">
        <v>42</v>
      </c>
      <c r="G135" s="1" t="s">
        <v>43</v>
      </c>
      <c r="H135" s="1" t="s">
        <v>107</v>
      </c>
      <c r="I135" s="1" t="s">
        <v>8</v>
      </c>
      <c r="J135" s="1" t="s">
        <v>32</v>
      </c>
      <c r="K135" s="1" t="s">
        <v>108</v>
      </c>
    </row>
    <row r="136" spans="1:12" ht="18" customHeight="1" x14ac:dyDescent="0.2">
      <c r="A136" s="2" t="s">
        <v>109</v>
      </c>
      <c r="B136" s="3" t="s">
        <v>110</v>
      </c>
      <c r="C136" s="4" t="s">
        <v>111</v>
      </c>
      <c r="D136" s="5" t="s">
        <v>112</v>
      </c>
      <c r="E136" s="25">
        <v>135000000</v>
      </c>
      <c r="F136" s="5" t="s">
        <v>17</v>
      </c>
      <c r="G136" s="5">
        <v>1</v>
      </c>
      <c r="H136" s="26">
        <v>0</v>
      </c>
      <c r="I136" s="27">
        <f>IFERROR(LOOKUP(2,1/(H136:H136&lt;&gt;""),H136:H136),"—")</f>
        <v>0</v>
      </c>
      <c r="J136" s="28">
        <f t="shared" ref="J136:J179" si="11">IFERROR(IF(OR(H136="",E136=0),"",H136/E136),"—")</f>
        <v>0</v>
      </c>
      <c r="K136" s="29" t="s">
        <v>113</v>
      </c>
    </row>
    <row r="137" spans="1:12" ht="18" customHeight="1" x14ac:dyDescent="0.2">
      <c r="A137" s="2" t="s">
        <v>109</v>
      </c>
      <c r="B137" s="3" t="s">
        <v>110</v>
      </c>
      <c r="C137" s="4" t="s">
        <v>111</v>
      </c>
      <c r="D137" s="5" t="s">
        <v>112</v>
      </c>
      <c r="E137" s="25">
        <v>135000000</v>
      </c>
      <c r="F137" s="5" t="s">
        <v>18</v>
      </c>
      <c r="G137" s="5">
        <v>2</v>
      </c>
      <c r="H137" s="12"/>
      <c r="I137" s="27">
        <f>IFERROR(LOOKUP(2,1/(H136:H137&lt;&gt;""),H136:H137),"—")</f>
        <v>0</v>
      </c>
      <c r="J137" s="28" t="str">
        <f t="shared" si="11"/>
        <v/>
      </c>
      <c r="K137" s="29" t="s">
        <v>113</v>
      </c>
    </row>
    <row r="138" spans="1:12" ht="18" customHeight="1" x14ac:dyDescent="0.2">
      <c r="A138" s="2" t="s">
        <v>109</v>
      </c>
      <c r="B138" s="3" t="s">
        <v>110</v>
      </c>
      <c r="C138" s="4" t="s">
        <v>111</v>
      </c>
      <c r="D138" s="5" t="s">
        <v>112</v>
      </c>
      <c r="E138" s="25">
        <v>135000000</v>
      </c>
      <c r="F138" s="5" t="s">
        <v>19</v>
      </c>
      <c r="G138" s="5">
        <v>3</v>
      </c>
      <c r="H138" s="12"/>
      <c r="I138" s="27">
        <f>IFERROR(LOOKUP(2,1/(H136:H138&lt;&gt;""),H136:H138),"—")</f>
        <v>0</v>
      </c>
      <c r="J138" s="28" t="str">
        <f t="shared" si="11"/>
        <v/>
      </c>
      <c r="K138" s="29" t="s">
        <v>113</v>
      </c>
    </row>
    <row r="139" spans="1:12" ht="18" customHeight="1" x14ac:dyDescent="0.2">
      <c r="A139" s="2" t="s">
        <v>109</v>
      </c>
      <c r="B139" s="3" t="s">
        <v>110</v>
      </c>
      <c r="C139" s="4" t="s">
        <v>111</v>
      </c>
      <c r="D139" s="5" t="s">
        <v>112</v>
      </c>
      <c r="E139" s="25">
        <v>135000000</v>
      </c>
      <c r="F139" s="5" t="s">
        <v>20</v>
      </c>
      <c r="G139" s="5">
        <v>4</v>
      </c>
      <c r="H139" s="12"/>
      <c r="I139" s="27">
        <f>IFERROR(LOOKUP(2,1/(H136:H139&lt;&gt;""),H136:H139),"—")</f>
        <v>0</v>
      </c>
      <c r="J139" s="28" t="str">
        <f t="shared" si="11"/>
        <v/>
      </c>
      <c r="K139" s="29" t="s">
        <v>113</v>
      </c>
    </row>
    <row r="140" spans="1:12" ht="18" customHeight="1" x14ac:dyDescent="0.2">
      <c r="A140" s="2" t="s">
        <v>109</v>
      </c>
      <c r="B140" s="3" t="s">
        <v>110</v>
      </c>
      <c r="C140" s="4" t="s">
        <v>111</v>
      </c>
      <c r="D140" s="5" t="s">
        <v>112</v>
      </c>
      <c r="E140" s="25">
        <v>135000000</v>
      </c>
      <c r="F140" s="5" t="s">
        <v>21</v>
      </c>
      <c r="G140" s="5">
        <v>5</v>
      </c>
      <c r="H140" s="12"/>
      <c r="I140" s="27">
        <f>IFERROR(LOOKUP(2,1/(H136:H140&lt;&gt;""),H136:H140),"—")</f>
        <v>0</v>
      </c>
      <c r="J140" s="28" t="str">
        <f t="shared" si="11"/>
        <v/>
      </c>
      <c r="K140" s="29" t="s">
        <v>113</v>
      </c>
    </row>
    <row r="141" spans="1:12" ht="18" customHeight="1" x14ac:dyDescent="0.2">
      <c r="A141" s="2" t="s">
        <v>109</v>
      </c>
      <c r="B141" s="3" t="s">
        <v>110</v>
      </c>
      <c r="C141" s="4" t="s">
        <v>111</v>
      </c>
      <c r="D141" s="5" t="s">
        <v>112</v>
      </c>
      <c r="E141" s="25">
        <v>135000000</v>
      </c>
      <c r="F141" s="5" t="s">
        <v>22</v>
      </c>
      <c r="G141" s="5">
        <v>6</v>
      </c>
      <c r="H141" s="12"/>
      <c r="I141" s="27">
        <f>IFERROR(LOOKUP(2,1/(H136:H141&lt;&gt;""),H136:H141),"—")</f>
        <v>0</v>
      </c>
      <c r="J141" s="28" t="str">
        <f t="shared" si="11"/>
        <v/>
      </c>
      <c r="K141" s="29" t="s">
        <v>113</v>
      </c>
    </row>
    <row r="142" spans="1:12" ht="18" customHeight="1" x14ac:dyDescent="0.2">
      <c r="A142" s="2" t="s">
        <v>109</v>
      </c>
      <c r="B142" s="3" t="s">
        <v>110</v>
      </c>
      <c r="C142" s="4" t="s">
        <v>111</v>
      </c>
      <c r="D142" s="5" t="s">
        <v>112</v>
      </c>
      <c r="E142" s="25">
        <v>135000000</v>
      </c>
      <c r="F142" s="5" t="s">
        <v>23</v>
      </c>
      <c r="G142" s="5">
        <v>7</v>
      </c>
      <c r="H142" s="12"/>
      <c r="I142" s="27">
        <f>IFERROR(LOOKUP(2,1/(H136:H142&lt;&gt;""),H136:H142),"—")</f>
        <v>0</v>
      </c>
      <c r="J142" s="28" t="str">
        <f t="shared" si="11"/>
        <v/>
      </c>
      <c r="K142" s="29" t="s">
        <v>113</v>
      </c>
    </row>
    <row r="143" spans="1:12" ht="18" customHeight="1" x14ac:dyDescent="0.2">
      <c r="A143" s="2" t="s">
        <v>109</v>
      </c>
      <c r="B143" s="3" t="s">
        <v>110</v>
      </c>
      <c r="C143" s="4" t="s">
        <v>111</v>
      </c>
      <c r="D143" s="5" t="s">
        <v>112</v>
      </c>
      <c r="E143" s="25">
        <v>135000000</v>
      </c>
      <c r="F143" s="5" t="s">
        <v>50</v>
      </c>
      <c r="G143" s="5">
        <v>8</v>
      </c>
      <c r="H143" s="12"/>
      <c r="I143" s="27">
        <f>IFERROR(LOOKUP(2,1/(H136:H143&lt;&gt;""),H136:H143),"—")</f>
        <v>0</v>
      </c>
      <c r="J143" s="28" t="str">
        <f t="shared" si="11"/>
        <v/>
      </c>
      <c r="K143" s="29" t="s">
        <v>113</v>
      </c>
    </row>
    <row r="144" spans="1:12" ht="18" customHeight="1" x14ac:dyDescent="0.2">
      <c r="A144" s="2" t="s">
        <v>109</v>
      </c>
      <c r="B144" s="3" t="s">
        <v>110</v>
      </c>
      <c r="C144" s="4" t="s">
        <v>111</v>
      </c>
      <c r="D144" s="5" t="s">
        <v>112</v>
      </c>
      <c r="E144" s="25">
        <v>135000000</v>
      </c>
      <c r="F144" s="5" t="s">
        <v>51</v>
      </c>
      <c r="G144" s="5">
        <v>9</v>
      </c>
      <c r="H144" s="12"/>
      <c r="I144" s="27">
        <f>IFERROR(LOOKUP(2,1/(H136:H144&lt;&gt;""),H136:H144),"—")</f>
        <v>0</v>
      </c>
      <c r="J144" s="28" t="str">
        <f t="shared" si="11"/>
        <v/>
      </c>
      <c r="K144" s="29" t="s">
        <v>113</v>
      </c>
    </row>
    <row r="145" spans="1:11" ht="18" customHeight="1" x14ac:dyDescent="0.2">
      <c r="A145" s="2" t="s">
        <v>109</v>
      </c>
      <c r="B145" s="3" t="s">
        <v>110</v>
      </c>
      <c r="C145" s="4" t="s">
        <v>111</v>
      </c>
      <c r="D145" s="5" t="s">
        <v>112</v>
      </c>
      <c r="E145" s="25">
        <v>135000000</v>
      </c>
      <c r="F145" s="5" t="s">
        <v>52</v>
      </c>
      <c r="G145" s="5">
        <v>10</v>
      </c>
      <c r="H145" s="12"/>
      <c r="I145" s="27">
        <f>IFERROR(LOOKUP(2,1/(H136:H145&lt;&gt;""),H136:H145),"—")</f>
        <v>0</v>
      </c>
      <c r="J145" s="28" t="str">
        <f t="shared" si="11"/>
        <v/>
      </c>
      <c r="K145" s="29" t="s">
        <v>113</v>
      </c>
    </row>
    <row r="146" spans="1:11" ht="18" customHeight="1" x14ac:dyDescent="0.2">
      <c r="A146" s="2" t="s">
        <v>109</v>
      </c>
      <c r="B146" s="3" t="s">
        <v>110</v>
      </c>
      <c r="C146" s="4" t="s">
        <v>111</v>
      </c>
      <c r="D146" s="5" t="s">
        <v>112</v>
      </c>
      <c r="E146" s="25">
        <v>135000000</v>
      </c>
      <c r="F146" s="5" t="s">
        <v>53</v>
      </c>
      <c r="G146" s="5">
        <v>11</v>
      </c>
      <c r="H146" s="12"/>
      <c r="I146" s="27">
        <f>IFERROR(LOOKUP(2,1/(H136:H146&lt;&gt;""),H136:H146),"—")</f>
        <v>0</v>
      </c>
      <c r="J146" s="28" t="str">
        <f t="shared" si="11"/>
        <v/>
      </c>
      <c r="K146" s="29" t="s">
        <v>113</v>
      </c>
    </row>
    <row r="147" spans="1:11" ht="18" customHeight="1" x14ac:dyDescent="0.2">
      <c r="A147" s="13" t="s">
        <v>114</v>
      </c>
      <c r="B147" s="14" t="s">
        <v>115</v>
      </c>
      <c r="C147" s="15" t="s">
        <v>116</v>
      </c>
      <c r="D147" s="16" t="s">
        <v>117</v>
      </c>
      <c r="E147" s="30">
        <v>1200</v>
      </c>
      <c r="F147" s="16" t="s">
        <v>17</v>
      </c>
      <c r="G147" s="16">
        <v>1</v>
      </c>
      <c r="H147" s="26">
        <v>0</v>
      </c>
      <c r="I147" s="27">
        <f>IFERROR(LOOKUP(2,1/(H147:H147&lt;&gt;""),H147:H147),"—")</f>
        <v>0</v>
      </c>
      <c r="J147" s="28">
        <f t="shared" si="11"/>
        <v>0</v>
      </c>
      <c r="K147" s="29" t="s">
        <v>118</v>
      </c>
    </row>
    <row r="148" spans="1:11" ht="18" customHeight="1" x14ac:dyDescent="0.2">
      <c r="A148" s="13" t="s">
        <v>114</v>
      </c>
      <c r="B148" s="14" t="s">
        <v>115</v>
      </c>
      <c r="C148" s="15" t="s">
        <v>116</v>
      </c>
      <c r="D148" s="16" t="s">
        <v>117</v>
      </c>
      <c r="E148" s="30">
        <v>1200</v>
      </c>
      <c r="F148" s="16" t="s">
        <v>18</v>
      </c>
      <c r="G148" s="16">
        <v>2</v>
      </c>
      <c r="H148" s="12"/>
      <c r="I148" s="27">
        <f>IFERROR(LOOKUP(2,1/(H147:H148&lt;&gt;""),H147:H148),"—")</f>
        <v>0</v>
      </c>
      <c r="J148" s="28" t="str">
        <f t="shared" si="11"/>
        <v/>
      </c>
      <c r="K148" s="29" t="s">
        <v>118</v>
      </c>
    </row>
    <row r="149" spans="1:11" ht="18" customHeight="1" x14ac:dyDescent="0.2">
      <c r="A149" s="13" t="s">
        <v>114</v>
      </c>
      <c r="B149" s="14" t="s">
        <v>115</v>
      </c>
      <c r="C149" s="15" t="s">
        <v>116</v>
      </c>
      <c r="D149" s="16" t="s">
        <v>117</v>
      </c>
      <c r="E149" s="30">
        <v>1200</v>
      </c>
      <c r="F149" s="16" t="s">
        <v>19</v>
      </c>
      <c r="G149" s="16">
        <v>3</v>
      </c>
      <c r="H149" s="12"/>
      <c r="I149" s="27">
        <f>IFERROR(LOOKUP(2,1/(H147:H149&lt;&gt;""),H147:H149),"—")</f>
        <v>0</v>
      </c>
      <c r="J149" s="28" t="str">
        <f t="shared" si="11"/>
        <v/>
      </c>
      <c r="K149" s="29" t="s">
        <v>118</v>
      </c>
    </row>
    <row r="150" spans="1:11" ht="18" customHeight="1" x14ac:dyDescent="0.2">
      <c r="A150" s="13" t="s">
        <v>114</v>
      </c>
      <c r="B150" s="14" t="s">
        <v>115</v>
      </c>
      <c r="C150" s="15" t="s">
        <v>116</v>
      </c>
      <c r="D150" s="16" t="s">
        <v>117</v>
      </c>
      <c r="E150" s="30">
        <v>1200</v>
      </c>
      <c r="F150" s="16" t="s">
        <v>20</v>
      </c>
      <c r="G150" s="16">
        <v>4</v>
      </c>
      <c r="H150" s="12"/>
      <c r="I150" s="27">
        <f>IFERROR(LOOKUP(2,1/(H147:H150&lt;&gt;""),H147:H150),"—")</f>
        <v>0</v>
      </c>
      <c r="J150" s="28" t="str">
        <f t="shared" si="11"/>
        <v/>
      </c>
      <c r="K150" s="29" t="s">
        <v>118</v>
      </c>
    </row>
    <row r="151" spans="1:11" ht="18" customHeight="1" x14ac:dyDescent="0.2">
      <c r="A151" s="13" t="s">
        <v>114</v>
      </c>
      <c r="B151" s="14" t="s">
        <v>115</v>
      </c>
      <c r="C151" s="15" t="s">
        <v>116</v>
      </c>
      <c r="D151" s="16" t="s">
        <v>117</v>
      </c>
      <c r="E151" s="30">
        <v>1200</v>
      </c>
      <c r="F151" s="16" t="s">
        <v>21</v>
      </c>
      <c r="G151" s="16">
        <v>5</v>
      </c>
      <c r="H151" s="12"/>
      <c r="I151" s="27">
        <f>IFERROR(LOOKUP(2,1/(H147:H151&lt;&gt;""),H147:H151),"—")</f>
        <v>0</v>
      </c>
      <c r="J151" s="28" t="str">
        <f t="shared" si="11"/>
        <v/>
      </c>
      <c r="K151" s="29" t="s">
        <v>118</v>
      </c>
    </row>
    <row r="152" spans="1:11" ht="18" customHeight="1" x14ac:dyDescent="0.2">
      <c r="A152" s="13" t="s">
        <v>114</v>
      </c>
      <c r="B152" s="14" t="s">
        <v>115</v>
      </c>
      <c r="C152" s="15" t="s">
        <v>116</v>
      </c>
      <c r="D152" s="16" t="s">
        <v>117</v>
      </c>
      <c r="E152" s="30">
        <v>1200</v>
      </c>
      <c r="F152" s="16" t="s">
        <v>22</v>
      </c>
      <c r="G152" s="16">
        <v>6</v>
      </c>
      <c r="H152" s="12"/>
      <c r="I152" s="27">
        <f>IFERROR(LOOKUP(2,1/(H147:H152&lt;&gt;""),H147:H152),"—")</f>
        <v>0</v>
      </c>
      <c r="J152" s="28" t="str">
        <f t="shared" si="11"/>
        <v/>
      </c>
      <c r="K152" s="29" t="s">
        <v>118</v>
      </c>
    </row>
    <row r="153" spans="1:11" ht="18" customHeight="1" x14ac:dyDescent="0.2">
      <c r="A153" s="13" t="s">
        <v>114</v>
      </c>
      <c r="B153" s="14" t="s">
        <v>115</v>
      </c>
      <c r="C153" s="15" t="s">
        <v>116</v>
      </c>
      <c r="D153" s="16" t="s">
        <v>117</v>
      </c>
      <c r="E153" s="30">
        <v>1200</v>
      </c>
      <c r="F153" s="16" t="s">
        <v>23</v>
      </c>
      <c r="G153" s="16">
        <v>7</v>
      </c>
      <c r="H153" s="12"/>
      <c r="I153" s="27">
        <f>IFERROR(LOOKUP(2,1/(H147:H153&lt;&gt;""),H147:H153),"—")</f>
        <v>0</v>
      </c>
      <c r="J153" s="28" t="str">
        <f t="shared" si="11"/>
        <v/>
      </c>
      <c r="K153" s="29" t="s">
        <v>118</v>
      </c>
    </row>
    <row r="154" spans="1:11" ht="18" customHeight="1" x14ac:dyDescent="0.2">
      <c r="A154" s="13" t="s">
        <v>114</v>
      </c>
      <c r="B154" s="14" t="s">
        <v>115</v>
      </c>
      <c r="C154" s="15" t="s">
        <v>116</v>
      </c>
      <c r="D154" s="16" t="s">
        <v>117</v>
      </c>
      <c r="E154" s="30">
        <v>1200</v>
      </c>
      <c r="F154" s="16" t="s">
        <v>50</v>
      </c>
      <c r="G154" s="16">
        <v>8</v>
      </c>
      <c r="H154" s="12"/>
      <c r="I154" s="27">
        <f>IFERROR(LOOKUP(2,1/(H147:H154&lt;&gt;""),H147:H154),"—")</f>
        <v>0</v>
      </c>
      <c r="J154" s="28" t="str">
        <f t="shared" si="11"/>
        <v/>
      </c>
      <c r="K154" s="29" t="s">
        <v>118</v>
      </c>
    </row>
    <row r="155" spans="1:11" ht="18" customHeight="1" x14ac:dyDescent="0.2">
      <c r="A155" s="13" t="s">
        <v>114</v>
      </c>
      <c r="B155" s="14" t="s">
        <v>115</v>
      </c>
      <c r="C155" s="15" t="s">
        <v>116</v>
      </c>
      <c r="D155" s="16" t="s">
        <v>117</v>
      </c>
      <c r="E155" s="30">
        <v>1200</v>
      </c>
      <c r="F155" s="16" t="s">
        <v>51</v>
      </c>
      <c r="G155" s="16">
        <v>9</v>
      </c>
      <c r="H155" s="12"/>
      <c r="I155" s="27">
        <f>IFERROR(LOOKUP(2,1/(H147:H155&lt;&gt;""),H147:H155),"—")</f>
        <v>0</v>
      </c>
      <c r="J155" s="28" t="str">
        <f t="shared" si="11"/>
        <v/>
      </c>
      <c r="K155" s="29" t="s">
        <v>118</v>
      </c>
    </row>
    <row r="156" spans="1:11" ht="18" customHeight="1" x14ac:dyDescent="0.2">
      <c r="A156" s="13" t="s">
        <v>114</v>
      </c>
      <c r="B156" s="14" t="s">
        <v>115</v>
      </c>
      <c r="C156" s="15" t="s">
        <v>116</v>
      </c>
      <c r="D156" s="16" t="s">
        <v>117</v>
      </c>
      <c r="E156" s="30">
        <v>1200</v>
      </c>
      <c r="F156" s="16" t="s">
        <v>52</v>
      </c>
      <c r="G156" s="16">
        <v>10</v>
      </c>
      <c r="H156" s="12"/>
      <c r="I156" s="27">
        <f>IFERROR(LOOKUP(2,1/(H147:H156&lt;&gt;""),H147:H156),"—")</f>
        <v>0</v>
      </c>
      <c r="J156" s="28" t="str">
        <f t="shared" si="11"/>
        <v/>
      </c>
      <c r="K156" s="29" t="s">
        <v>118</v>
      </c>
    </row>
    <row r="157" spans="1:11" ht="18" customHeight="1" x14ac:dyDescent="0.2">
      <c r="A157" s="13" t="s">
        <v>114</v>
      </c>
      <c r="B157" s="14" t="s">
        <v>115</v>
      </c>
      <c r="C157" s="15" t="s">
        <v>116</v>
      </c>
      <c r="D157" s="16" t="s">
        <v>117</v>
      </c>
      <c r="E157" s="30">
        <v>1200</v>
      </c>
      <c r="F157" s="16" t="s">
        <v>53</v>
      </c>
      <c r="G157" s="16">
        <v>11</v>
      </c>
      <c r="H157" s="12"/>
      <c r="I157" s="27">
        <f>IFERROR(LOOKUP(2,1/(H147:H157&lt;&gt;""),H147:H157),"—")</f>
        <v>0</v>
      </c>
      <c r="J157" s="28" t="str">
        <f t="shared" si="11"/>
        <v/>
      </c>
      <c r="K157" s="29" t="s">
        <v>118</v>
      </c>
    </row>
    <row r="158" spans="1:11" ht="18" customHeight="1" x14ac:dyDescent="0.2">
      <c r="A158" s="2" t="s">
        <v>119</v>
      </c>
      <c r="B158" s="3" t="s">
        <v>120</v>
      </c>
      <c r="C158" s="4" t="s">
        <v>121</v>
      </c>
      <c r="D158" s="5" t="s">
        <v>122</v>
      </c>
      <c r="E158" s="25">
        <v>1</v>
      </c>
      <c r="F158" s="5" t="s">
        <v>17</v>
      </c>
      <c r="G158" s="5">
        <v>1</v>
      </c>
      <c r="H158" s="26">
        <v>0</v>
      </c>
      <c r="I158" s="27">
        <f>IFERROR(LOOKUP(2,1/(H158:H158&lt;&gt;""),H158:H158),"—")</f>
        <v>0</v>
      </c>
      <c r="J158" s="28">
        <f t="shared" si="11"/>
        <v>0</v>
      </c>
      <c r="K158" s="29" t="s">
        <v>123</v>
      </c>
    </row>
    <row r="159" spans="1:11" ht="18" customHeight="1" x14ac:dyDescent="0.2">
      <c r="A159" s="2" t="s">
        <v>119</v>
      </c>
      <c r="B159" s="3" t="s">
        <v>120</v>
      </c>
      <c r="C159" s="4" t="s">
        <v>121</v>
      </c>
      <c r="D159" s="5" t="s">
        <v>122</v>
      </c>
      <c r="E159" s="25">
        <v>1</v>
      </c>
      <c r="F159" s="5" t="s">
        <v>18</v>
      </c>
      <c r="G159" s="5">
        <v>2</v>
      </c>
      <c r="H159" s="12"/>
      <c r="I159" s="27">
        <f>IFERROR(LOOKUP(2,1/(H158:H159&lt;&gt;""),H158:H159),"—")</f>
        <v>0</v>
      </c>
      <c r="J159" s="28" t="str">
        <f t="shared" si="11"/>
        <v/>
      </c>
      <c r="K159" s="29" t="s">
        <v>123</v>
      </c>
    </row>
    <row r="160" spans="1:11" ht="18" customHeight="1" x14ac:dyDescent="0.2">
      <c r="A160" s="2" t="s">
        <v>119</v>
      </c>
      <c r="B160" s="3" t="s">
        <v>120</v>
      </c>
      <c r="C160" s="4" t="s">
        <v>121</v>
      </c>
      <c r="D160" s="5" t="s">
        <v>122</v>
      </c>
      <c r="E160" s="25">
        <v>1</v>
      </c>
      <c r="F160" s="5" t="s">
        <v>19</v>
      </c>
      <c r="G160" s="5">
        <v>3</v>
      </c>
      <c r="H160" s="12"/>
      <c r="I160" s="27">
        <f>IFERROR(LOOKUP(2,1/(H158:H160&lt;&gt;""),H158:H160),"—")</f>
        <v>0</v>
      </c>
      <c r="J160" s="28" t="str">
        <f t="shared" si="11"/>
        <v/>
      </c>
      <c r="K160" s="29" t="s">
        <v>123</v>
      </c>
    </row>
    <row r="161" spans="1:11" ht="18" customHeight="1" x14ac:dyDescent="0.2">
      <c r="A161" s="2" t="s">
        <v>119</v>
      </c>
      <c r="B161" s="3" t="s">
        <v>120</v>
      </c>
      <c r="C161" s="4" t="s">
        <v>121</v>
      </c>
      <c r="D161" s="5" t="s">
        <v>122</v>
      </c>
      <c r="E161" s="25">
        <v>1</v>
      </c>
      <c r="F161" s="5" t="s">
        <v>20</v>
      </c>
      <c r="G161" s="5">
        <v>4</v>
      </c>
      <c r="H161" s="12"/>
      <c r="I161" s="27">
        <f>IFERROR(LOOKUP(2,1/(H158:H161&lt;&gt;""),H158:H161),"—")</f>
        <v>0</v>
      </c>
      <c r="J161" s="28" t="str">
        <f t="shared" si="11"/>
        <v/>
      </c>
      <c r="K161" s="29" t="s">
        <v>123</v>
      </c>
    </row>
    <row r="162" spans="1:11" ht="18" customHeight="1" x14ac:dyDescent="0.2">
      <c r="A162" s="2" t="s">
        <v>119</v>
      </c>
      <c r="B162" s="3" t="s">
        <v>120</v>
      </c>
      <c r="C162" s="4" t="s">
        <v>121</v>
      </c>
      <c r="D162" s="5" t="s">
        <v>122</v>
      </c>
      <c r="E162" s="25">
        <v>1</v>
      </c>
      <c r="F162" s="5" t="s">
        <v>21</v>
      </c>
      <c r="G162" s="5">
        <v>5</v>
      </c>
      <c r="H162" s="12"/>
      <c r="I162" s="27">
        <f>IFERROR(LOOKUP(2,1/(H158:H162&lt;&gt;""),H158:H162),"—")</f>
        <v>0</v>
      </c>
      <c r="J162" s="28" t="str">
        <f t="shared" si="11"/>
        <v/>
      </c>
      <c r="K162" s="29" t="s">
        <v>123</v>
      </c>
    </row>
    <row r="163" spans="1:11" ht="18" customHeight="1" x14ac:dyDescent="0.2">
      <c r="A163" s="2" t="s">
        <v>119</v>
      </c>
      <c r="B163" s="3" t="s">
        <v>120</v>
      </c>
      <c r="C163" s="4" t="s">
        <v>121</v>
      </c>
      <c r="D163" s="5" t="s">
        <v>122</v>
      </c>
      <c r="E163" s="25">
        <v>1</v>
      </c>
      <c r="F163" s="5" t="s">
        <v>22</v>
      </c>
      <c r="G163" s="5">
        <v>6</v>
      </c>
      <c r="H163" s="12"/>
      <c r="I163" s="27">
        <f>IFERROR(LOOKUP(2,1/(H158:H163&lt;&gt;""),H158:H163),"—")</f>
        <v>0</v>
      </c>
      <c r="J163" s="28" t="str">
        <f t="shared" si="11"/>
        <v/>
      </c>
      <c r="K163" s="29" t="s">
        <v>123</v>
      </c>
    </row>
    <row r="164" spans="1:11" ht="18" customHeight="1" x14ac:dyDescent="0.2">
      <c r="A164" s="2" t="s">
        <v>119</v>
      </c>
      <c r="B164" s="3" t="s">
        <v>120</v>
      </c>
      <c r="C164" s="4" t="s">
        <v>121</v>
      </c>
      <c r="D164" s="5" t="s">
        <v>122</v>
      </c>
      <c r="E164" s="25">
        <v>1</v>
      </c>
      <c r="F164" s="5" t="s">
        <v>23</v>
      </c>
      <c r="G164" s="5">
        <v>7</v>
      </c>
      <c r="H164" s="12"/>
      <c r="I164" s="27">
        <f>IFERROR(LOOKUP(2,1/(H158:H164&lt;&gt;""),H158:H164),"—")</f>
        <v>0</v>
      </c>
      <c r="J164" s="28" t="str">
        <f t="shared" si="11"/>
        <v/>
      </c>
      <c r="K164" s="29" t="s">
        <v>123</v>
      </c>
    </row>
    <row r="165" spans="1:11" ht="18" customHeight="1" x14ac:dyDescent="0.2">
      <c r="A165" s="2" t="s">
        <v>119</v>
      </c>
      <c r="B165" s="3" t="s">
        <v>120</v>
      </c>
      <c r="C165" s="4" t="s">
        <v>121</v>
      </c>
      <c r="D165" s="5" t="s">
        <v>122</v>
      </c>
      <c r="E165" s="25">
        <v>1</v>
      </c>
      <c r="F165" s="5" t="s">
        <v>50</v>
      </c>
      <c r="G165" s="5">
        <v>8</v>
      </c>
      <c r="H165" s="12"/>
      <c r="I165" s="27">
        <f>IFERROR(LOOKUP(2,1/(H158:H165&lt;&gt;""),H158:H165),"—")</f>
        <v>0</v>
      </c>
      <c r="J165" s="28" t="str">
        <f t="shared" si="11"/>
        <v/>
      </c>
      <c r="K165" s="29" t="s">
        <v>123</v>
      </c>
    </row>
    <row r="166" spans="1:11" ht="18" customHeight="1" x14ac:dyDescent="0.2">
      <c r="A166" s="2" t="s">
        <v>119</v>
      </c>
      <c r="B166" s="3" t="s">
        <v>120</v>
      </c>
      <c r="C166" s="4" t="s">
        <v>121</v>
      </c>
      <c r="D166" s="5" t="s">
        <v>122</v>
      </c>
      <c r="E166" s="25">
        <v>1</v>
      </c>
      <c r="F166" s="5" t="s">
        <v>51</v>
      </c>
      <c r="G166" s="5">
        <v>9</v>
      </c>
      <c r="H166" s="12"/>
      <c r="I166" s="27">
        <f>IFERROR(LOOKUP(2,1/(H158:H166&lt;&gt;""),H158:H166),"—")</f>
        <v>0</v>
      </c>
      <c r="J166" s="28" t="str">
        <f t="shared" si="11"/>
        <v/>
      </c>
      <c r="K166" s="29" t="s">
        <v>123</v>
      </c>
    </row>
    <row r="167" spans="1:11" ht="18" customHeight="1" x14ac:dyDescent="0.2">
      <c r="A167" s="2" t="s">
        <v>119</v>
      </c>
      <c r="B167" s="3" t="s">
        <v>120</v>
      </c>
      <c r="C167" s="4" t="s">
        <v>121</v>
      </c>
      <c r="D167" s="5" t="s">
        <v>122</v>
      </c>
      <c r="E167" s="25">
        <v>1</v>
      </c>
      <c r="F167" s="5" t="s">
        <v>52</v>
      </c>
      <c r="G167" s="5">
        <v>10</v>
      </c>
      <c r="H167" s="12"/>
      <c r="I167" s="27">
        <f>IFERROR(LOOKUP(2,1/(H158:H167&lt;&gt;""),H158:H167),"—")</f>
        <v>0</v>
      </c>
      <c r="J167" s="28" t="str">
        <f t="shared" si="11"/>
        <v/>
      </c>
      <c r="K167" s="29" t="s">
        <v>123</v>
      </c>
    </row>
    <row r="168" spans="1:11" ht="18" customHeight="1" x14ac:dyDescent="0.2">
      <c r="A168" s="2" t="s">
        <v>119</v>
      </c>
      <c r="B168" s="3" t="s">
        <v>120</v>
      </c>
      <c r="C168" s="4" t="s">
        <v>121</v>
      </c>
      <c r="D168" s="5" t="s">
        <v>122</v>
      </c>
      <c r="E168" s="25">
        <v>1</v>
      </c>
      <c r="F168" s="5" t="s">
        <v>53</v>
      </c>
      <c r="G168" s="5">
        <v>11</v>
      </c>
      <c r="H168" s="12"/>
      <c r="I168" s="27">
        <f>IFERROR(LOOKUP(2,1/(H158:H168&lt;&gt;""),H158:H168),"—")</f>
        <v>0</v>
      </c>
      <c r="J168" s="28" t="str">
        <f t="shared" si="11"/>
        <v/>
      </c>
      <c r="K168" s="29" t="s">
        <v>123</v>
      </c>
    </row>
    <row r="169" spans="1:11" ht="18" customHeight="1" x14ac:dyDescent="0.2">
      <c r="A169" s="13" t="s">
        <v>124</v>
      </c>
      <c r="B169" s="14" t="s">
        <v>125</v>
      </c>
      <c r="C169" s="15" t="s">
        <v>126</v>
      </c>
      <c r="D169" s="16" t="s">
        <v>127</v>
      </c>
      <c r="E169" s="30">
        <v>1</v>
      </c>
      <c r="F169" s="16" t="s">
        <v>17</v>
      </c>
      <c r="G169" s="16">
        <v>1</v>
      </c>
      <c r="H169" s="26">
        <v>0</v>
      </c>
      <c r="I169" s="27">
        <f>IFERROR(LOOKUP(2,1/(H169:H169&lt;&gt;""),H169:H169),"—")</f>
        <v>0</v>
      </c>
      <c r="J169" s="28">
        <f t="shared" si="11"/>
        <v>0</v>
      </c>
      <c r="K169" s="29" t="s">
        <v>128</v>
      </c>
    </row>
    <row r="170" spans="1:11" ht="18" customHeight="1" x14ac:dyDescent="0.2">
      <c r="A170" s="13" t="s">
        <v>124</v>
      </c>
      <c r="B170" s="14" t="s">
        <v>125</v>
      </c>
      <c r="C170" s="15" t="s">
        <v>126</v>
      </c>
      <c r="D170" s="16" t="s">
        <v>127</v>
      </c>
      <c r="E170" s="30">
        <v>1</v>
      </c>
      <c r="F170" s="16" t="s">
        <v>18</v>
      </c>
      <c r="G170" s="16">
        <v>2</v>
      </c>
      <c r="H170" s="12"/>
      <c r="I170" s="27">
        <f>IFERROR(LOOKUP(2,1/(H169:H170&lt;&gt;""),H169:H170),"—")</f>
        <v>0</v>
      </c>
      <c r="J170" s="28" t="str">
        <f t="shared" si="11"/>
        <v/>
      </c>
      <c r="K170" s="29" t="s">
        <v>128</v>
      </c>
    </row>
    <row r="171" spans="1:11" ht="18" customHeight="1" x14ac:dyDescent="0.2">
      <c r="A171" s="13" t="s">
        <v>124</v>
      </c>
      <c r="B171" s="14" t="s">
        <v>125</v>
      </c>
      <c r="C171" s="15" t="s">
        <v>126</v>
      </c>
      <c r="D171" s="16" t="s">
        <v>127</v>
      </c>
      <c r="E171" s="30">
        <v>1</v>
      </c>
      <c r="F171" s="16" t="s">
        <v>19</v>
      </c>
      <c r="G171" s="16">
        <v>3</v>
      </c>
      <c r="H171" s="12"/>
      <c r="I171" s="27">
        <f>IFERROR(LOOKUP(2,1/(H169:H171&lt;&gt;""),H169:H171),"—")</f>
        <v>0</v>
      </c>
      <c r="J171" s="28" t="str">
        <f t="shared" si="11"/>
        <v/>
      </c>
      <c r="K171" s="29" t="s">
        <v>128</v>
      </c>
    </row>
    <row r="172" spans="1:11" ht="18" customHeight="1" x14ac:dyDescent="0.2">
      <c r="A172" s="13" t="s">
        <v>124</v>
      </c>
      <c r="B172" s="14" t="s">
        <v>125</v>
      </c>
      <c r="C172" s="15" t="s">
        <v>126</v>
      </c>
      <c r="D172" s="16" t="s">
        <v>127</v>
      </c>
      <c r="E172" s="30">
        <v>1</v>
      </c>
      <c r="F172" s="16" t="s">
        <v>20</v>
      </c>
      <c r="G172" s="16">
        <v>4</v>
      </c>
      <c r="H172" s="12"/>
      <c r="I172" s="27">
        <f>IFERROR(LOOKUP(2,1/(H169:H172&lt;&gt;""),H169:H172),"—")</f>
        <v>0</v>
      </c>
      <c r="J172" s="28" t="str">
        <f t="shared" si="11"/>
        <v/>
      </c>
      <c r="K172" s="29" t="s">
        <v>128</v>
      </c>
    </row>
    <row r="173" spans="1:11" ht="18" customHeight="1" x14ac:dyDescent="0.2">
      <c r="A173" s="13" t="s">
        <v>124</v>
      </c>
      <c r="B173" s="14" t="s">
        <v>125</v>
      </c>
      <c r="C173" s="15" t="s">
        <v>126</v>
      </c>
      <c r="D173" s="16" t="s">
        <v>127</v>
      </c>
      <c r="E173" s="30">
        <v>1</v>
      </c>
      <c r="F173" s="16" t="s">
        <v>21</v>
      </c>
      <c r="G173" s="16">
        <v>5</v>
      </c>
      <c r="H173" s="12"/>
      <c r="I173" s="27">
        <f>IFERROR(LOOKUP(2,1/(H169:H173&lt;&gt;""),H169:H173),"—")</f>
        <v>0</v>
      </c>
      <c r="J173" s="28" t="str">
        <f t="shared" si="11"/>
        <v/>
      </c>
      <c r="K173" s="29" t="s">
        <v>128</v>
      </c>
    </row>
    <row r="174" spans="1:11" ht="18" customHeight="1" x14ac:dyDescent="0.2">
      <c r="A174" s="13" t="s">
        <v>124</v>
      </c>
      <c r="B174" s="14" t="s">
        <v>125</v>
      </c>
      <c r="C174" s="15" t="s">
        <v>126</v>
      </c>
      <c r="D174" s="16" t="s">
        <v>127</v>
      </c>
      <c r="E174" s="30">
        <v>1</v>
      </c>
      <c r="F174" s="16" t="s">
        <v>22</v>
      </c>
      <c r="G174" s="16">
        <v>6</v>
      </c>
      <c r="H174" s="12"/>
      <c r="I174" s="27">
        <f>IFERROR(LOOKUP(2,1/(H169:H174&lt;&gt;""),H169:H174),"—")</f>
        <v>0</v>
      </c>
      <c r="J174" s="28" t="str">
        <f t="shared" si="11"/>
        <v/>
      </c>
      <c r="K174" s="29" t="s">
        <v>128</v>
      </c>
    </row>
    <row r="175" spans="1:11" ht="18" customHeight="1" x14ac:dyDescent="0.2">
      <c r="A175" s="13" t="s">
        <v>124</v>
      </c>
      <c r="B175" s="14" t="s">
        <v>125</v>
      </c>
      <c r="C175" s="15" t="s">
        <v>126</v>
      </c>
      <c r="D175" s="16" t="s">
        <v>127</v>
      </c>
      <c r="E175" s="30">
        <v>1</v>
      </c>
      <c r="F175" s="16" t="s">
        <v>23</v>
      </c>
      <c r="G175" s="16">
        <v>7</v>
      </c>
      <c r="H175" s="12"/>
      <c r="I175" s="27">
        <f>IFERROR(LOOKUP(2,1/(H169:H175&lt;&gt;""),H169:H175),"—")</f>
        <v>0</v>
      </c>
      <c r="J175" s="28" t="str">
        <f t="shared" si="11"/>
        <v/>
      </c>
      <c r="K175" s="29" t="s">
        <v>128</v>
      </c>
    </row>
    <row r="176" spans="1:11" ht="18" customHeight="1" x14ac:dyDescent="0.2">
      <c r="A176" s="13" t="s">
        <v>124</v>
      </c>
      <c r="B176" s="14" t="s">
        <v>125</v>
      </c>
      <c r="C176" s="15" t="s">
        <v>126</v>
      </c>
      <c r="D176" s="16" t="s">
        <v>127</v>
      </c>
      <c r="E176" s="30">
        <v>1</v>
      </c>
      <c r="F176" s="16" t="s">
        <v>50</v>
      </c>
      <c r="G176" s="16">
        <v>8</v>
      </c>
      <c r="H176" s="12"/>
      <c r="I176" s="27">
        <f>IFERROR(LOOKUP(2,1/(H169:H176&lt;&gt;""),H169:H176),"—")</f>
        <v>0</v>
      </c>
      <c r="J176" s="28" t="str">
        <f t="shared" si="11"/>
        <v/>
      </c>
      <c r="K176" s="29" t="s">
        <v>128</v>
      </c>
    </row>
    <row r="177" spans="1:12" ht="18" customHeight="1" x14ac:dyDescent="0.2">
      <c r="A177" s="13" t="s">
        <v>124</v>
      </c>
      <c r="B177" s="14" t="s">
        <v>125</v>
      </c>
      <c r="C177" s="15" t="s">
        <v>126</v>
      </c>
      <c r="D177" s="16" t="s">
        <v>127</v>
      </c>
      <c r="E177" s="30">
        <v>1</v>
      </c>
      <c r="F177" s="16" t="s">
        <v>51</v>
      </c>
      <c r="G177" s="16">
        <v>9</v>
      </c>
      <c r="H177" s="12"/>
      <c r="I177" s="27">
        <f>IFERROR(LOOKUP(2,1/(H169:H177&lt;&gt;""),H169:H177),"—")</f>
        <v>0</v>
      </c>
      <c r="J177" s="28" t="str">
        <f t="shared" si="11"/>
        <v/>
      </c>
      <c r="K177" s="29" t="s">
        <v>128</v>
      </c>
    </row>
    <row r="178" spans="1:12" ht="18" customHeight="1" x14ac:dyDescent="0.2">
      <c r="A178" s="13" t="s">
        <v>124</v>
      </c>
      <c r="B178" s="14" t="s">
        <v>125</v>
      </c>
      <c r="C178" s="15" t="s">
        <v>126</v>
      </c>
      <c r="D178" s="16" t="s">
        <v>127</v>
      </c>
      <c r="E178" s="30">
        <v>1</v>
      </c>
      <c r="F178" s="16" t="s">
        <v>52</v>
      </c>
      <c r="G178" s="16">
        <v>10</v>
      </c>
      <c r="H178" s="12"/>
      <c r="I178" s="27">
        <f>IFERROR(LOOKUP(2,1/(H169:H178&lt;&gt;""),H169:H178),"—")</f>
        <v>0</v>
      </c>
      <c r="J178" s="28" t="str">
        <f t="shared" si="11"/>
        <v/>
      </c>
      <c r="K178" s="29" t="s">
        <v>128</v>
      </c>
    </row>
    <row r="179" spans="1:12" ht="18" customHeight="1" x14ac:dyDescent="0.2">
      <c r="A179" s="13" t="s">
        <v>124</v>
      </c>
      <c r="B179" s="14" t="s">
        <v>125</v>
      </c>
      <c r="C179" s="15" t="s">
        <v>126</v>
      </c>
      <c r="D179" s="16" t="s">
        <v>127</v>
      </c>
      <c r="E179" s="30">
        <v>1</v>
      </c>
      <c r="F179" s="16" t="s">
        <v>53</v>
      </c>
      <c r="G179" s="16">
        <v>11</v>
      </c>
      <c r="H179" s="12"/>
      <c r="I179" s="27">
        <f>IFERROR(LOOKUP(2,1/(H169:H179&lt;&gt;""),H169:H179),"—")</f>
        <v>0</v>
      </c>
      <c r="J179" s="28" t="str">
        <f t="shared" si="11"/>
        <v/>
      </c>
      <c r="K179" s="29" t="s">
        <v>128</v>
      </c>
    </row>
    <row r="181" spans="1:12" ht="22" customHeight="1" x14ac:dyDescent="0.2">
      <c r="A181" s="71" t="s">
        <v>129</v>
      </c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</row>
  </sheetData>
  <mergeCells count="7">
    <mergeCell ref="A134:L134"/>
    <mergeCell ref="A117:L117"/>
    <mergeCell ref="A1:L1"/>
    <mergeCell ref="A181:L181"/>
    <mergeCell ref="A119:B119"/>
    <mergeCell ref="A3:L3"/>
    <mergeCell ref="D119:G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workbookViewId="0">
      <selection activeCell="D8" sqref="D4:D8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16" customWidth="1"/>
    <col min="4" max="6" width="18" customWidth="1"/>
  </cols>
  <sheetData>
    <row r="1" spans="1:6" ht="24" customHeight="1" x14ac:dyDescent="0.2">
      <c r="A1" s="76" t="s">
        <v>130</v>
      </c>
      <c r="B1" s="58"/>
      <c r="C1" s="58"/>
      <c r="D1" s="58"/>
      <c r="E1" s="58"/>
      <c r="F1" s="58"/>
    </row>
    <row r="2" spans="1:6" ht="16" customHeight="1" x14ac:dyDescent="0.2">
      <c r="A2" s="75" t="s">
        <v>131</v>
      </c>
      <c r="B2" s="58"/>
      <c r="C2" s="58"/>
      <c r="D2" s="58"/>
      <c r="E2" s="58"/>
      <c r="F2" s="58"/>
    </row>
    <row r="3" spans="1:6" ht="20" customHeight="1" x14ac:dyDescent="0.2">
      <c r="A3" s="1" t="s">
        <v>42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10</v>
      </c>
    </row>
    <row r="4" spans="1:6" ht="17" customHeight="1" x14ac:dyDescent="0.2">
      <c r="A4" s="5" t="s">
        <v>13</v>
      </c>
      <c r="B4" s="5" t="s">
        <v>94</v>
      </c>
      <c r="C4" s="19">
        <f>Datos!C121</f>
        <v>0.06</v>
      </c>
      <c r="D4" s="31">
        <f>IF(Datos!D121="","",Datos!D121)</f>
        <v>6.6699999999999995E-2</v>
      </c>
      <c r="E4" s="20">
        <f t="shared" ref="E4:E14" si="0">IFERROR(IF(D4="","",IF(D4="Prev. contrato","",D4-C4)),"")</f>
        <v>6.6999999999999976E-3</v>
      </c>
      <c r="F4" s="5" t="str">
        <f t="shared" ref="F4:F14" si="1">IFERROR(IF(OR(D4="",D4="Prev. contrato"),"—",IF(E4&gt;=0,"▲ Adelantado",IF(E4&gt;=-0.05,"► En rango","▼ Rezagado"))),"—")</f>
        <v>▲ Adelantado</v>
      </c>
    </row>
    <row r="5" spans="1:6" ht="17" customHeight="1" x14ac:dyDescent="0.2">
      <c r="A5" s="22" t="s">
        <v>14</v>
      </c>
      <c r="B5" s="22" t="s">
        <v>95</v>
      </c>
      <c r="C5" s="19">
        <f>Datos!C122</f>
        <v>0.14000000000000001</v>
      </c>
      <c r="D5" s="31">
        <f>IF(Datos!D122="","",Datos!D122)</f>
        <v>0.1326</v>
      </c>
      <c r="E5" s="23">
        <f t="shared" si="0"/>
        <v>-7.4000000000000177E-3</v>
      </c>
      <c r="F5" s="22" t="str">
        <f t="shared" si="1"/>
        <v>► En rango</v>
      </c>
    </row>
    <row r="6" spans="1:6" ht="17" customHeight="1" x14ac:dyDescent="0.2">
      <c r="A6" s="5" t="s">
        <v>15</v>
      </c>
      <c r="B6" s="5" t="s">
        <v>96</v>
      </c>
      <c r="C6" s="19">
        <f>Datos!C123</f>
        <v>0.24</v>
      </c>
      <c r="D6" s="31">
        <f>IF(Datos!D123="","",Datos!D123)</f>
        <v>0.33069999999999999</v>
      </c>
      <c r="E6" s="20">
        <f t="shared" si="0"/>
        <v>9.0700000000000003E-2</v>
      </c>
      <c r="F6" s="5" t="str">
        <f t="shared" si="1"/>
        <v>▲ Adelantado</v>
      </c>
    </row>
    <row r="7" spans="1:6" ht="17" customHeight="1" x14ac:dyDescent="0.2">
      <c r="A7" s="22" t="s">
        <v>16</v>
      </c>
      <c r="B7" s="22" t="s">
        <v>97</v>
      </c>
      <c r="C7" s="19">
        <f>Datos!C124</f>
        <v>0.36</v>
      </c>
      <c r="D7" s="31">
        <f>IF(Datos!D124="","",Datos!D124)</f>
        <v>0.35399999999999998</v>
      </c>
      <c r="E7" s="23">
        <f t="shared" si="0"/>
        <v>-6.0000000000000053E-3</v>
      </c>
      <c r="F7" s="22" t="str">
        <f t="shared" si="1"/>
        <v>► En rango</v>
      </c>
    </row>
    <row r="8" spans="1:6" ht="17" customHeight="1" x14ac:dyDescent="0.2">
      <c r="A8" s="5" t="s">
        <v>17</v>
      </c>
      <c r="B8" s="5" t="s">
        <v>98</v>
      </c>
      <c r="C8" s="19">
        <f>Datos!C125</f>
        <v>0.48</v>
      </c>
      <c r="D8" s="31">
        <f>IF(Datos!D125="","",Datos!D125)</f>
        <v>0.39800000000000002</v>
      </c>
      <c r="E8" s="20">
        <f t="shared" si="0"/>
        <v>-8.1999999999999962E-2</v>
      </c>
      <c r="F8" s="5" t="str">
        <f t="shared" si="1"/>
        <v>▼ Rezagado</v>
      </c>
    </row>
    <row r="9" spans="1:6" ht="17" customHeight="1" x14ac:dyDescent="0.2">
      <c r="A9" s="22" t="s">
        <v>18</v>
      </c>
      <c r="B9" s="22" t="s">
        <v>99</v>
      </c>
      <c r="C9" s="19">
        <f>Datos!C126</f>
        <v>0.59</v>
      </c>
      <c r="D9" s="31" t="str">
        <f>IF(Datos!D126="","",Datos!D126)</f>
        <v/>
      </c>
      <c r="E9" s="23" t="str">
        <f t="shared" si="0"/>
        <v/>
      </c>
      <c r="F9" s="22" t="str">
        <f t="shared" si="1"/>
        <v>—</v>
      </c>
    </row>
    <row r="10" spans="1:6" ht="17" customHeight="1" x14ac:dyDescent="0.2">
      <c r="A10" s="5" t="s">
        <v>19</v>
      </c>
      <c r="B10" s="5" t="s">
        <v>100</v>
      </c>
      <c r="C10" s="19">
        <f>Datos!C127</f>
        <v>0.7</v>
      </c>
      <c r="D10" s="31" t="str">
        <f>IF(Datos!D127="","",Datos!D127)</f>
        <v/>
      </c>
      <c r="E10" s="20" t="str">
        <f t="shared" si="0"/>
        <v/>
      </c>
      <c r="F10" s="5" t="str">
        <f t="shared" si="1"/>
        <v>—</v>
      </c>
    </row>
    <row r="11" spans="1:6" ht="17" customHeight="1" x14ac:dyDescent="0.2">
      <c r="A11" s="22" t="s">
        <v>20</v>
      </c>
      <c r="B11" s="22" t="s">
        <v>101</v>
      </c>
      <c r="C11" s="19">
        <f>Datos!C128</f>
        <v>0.8</v>
      </c>
      <c r="D11" s="31" t="str">
        <f>IF(Datos!D128="","",Datos!D128)</f>
        <v/>
      </c>
      <c r="E11" s="23" t="str">
        <f t="shared" si="0"/>
        <v/>
      </c>
      <c r="F11" s="22" t="str">
        <f t="shared" si="1"/>
        <v>—</v>
      </c>
    </row>
    <row r="12" spans="1:6" ht="17" customHeight="1" x14ac:dyDescent="0.2">
      <c r="A12" s="5" t="s">
        <v>21</v>
      </c>
      <c r="B12" s="5" t="s">
        <v>102</v>
      </c>
      <c r="C12" s="19">
        <f>Datos!C129</f>
        <v>0.88</v>
      </c>
      <c r="D12" s="31" t="str">
        <f>IF(Datos!D129="","",Datos!D129)</f>
        <v/>
      </c>
      <c r="E12" s="20" t="str">
        <f t="shared" si="0"/>
        <v/>
      </c>
      <c r="F12" s="5" t="str">
        <f t="shared" si="1"/>
        <v>—</v>
      </c>
    </row>
    <row r="13" spans="1:6" ht="17" customHeight="1" x14ac:dyDescent="0.2">
      <c r="A13" s="22" t="s">
        <v>22</v>
      </c>
      <c r="B13" s="22" t="s">
        <v>103</v>
      </c>
      <c r="C13" s="19">
        <f>Datos!C130</f>
        <v>0.95</v>
      </c>
      <c r="D13" s="31" t="str">
        <f>IF(Datos!D130="","",Datos!D130)</f>
        <v/>
      </c>
      <c r="E13" s="23" t="str">
        <f t="shared" si="0"/>
        <v/>
      </c>
      <c r="F13" s="22" t="str">
        <f t="shared" si="1"/>
        <v>—</v>
      </c>
    </row>
    <row r="14" spans="1:6" ht="17" customHeight="1" x14ac:dyDescent="0.2">
      <c r="A14" s="5" t="s">
        <v>23</v>
      </c>
      <c r="B14" s="5" t="s">
        <v>104</v>
      </c>
      <c r="C14" s="19">
        <f>Datos!C131</f>
        <v>1</v>
      </c>
      <c r="D14" s="31" t="str">
        <f>IF(Datos!D131="","",Datos!D131)</f>
        <v/>
      </c>
      <c r="E14" s="20" t="str">
        <f t="shared" si="0"/>
        <v/>
      </c>
      <c r="F14" s="5" t="str">
        <f t="shared" si="1"/>
        <v>—</v>
      </c>
    </row>
    <row r="16" spans="1:6" ht="22" customHeight="1" x14ac:dyDescent="0.2">
      <c r="A16" s="60" t="s">
        <v>132</v>
      </c>
      <c r="B16" s="58"/>
      <c r="C16" s="58"/>
      <c r="D16" s="58"/>
      <c r="E16" s="58"/>
      <c r="F16" s="58"/>
    </row>
  </sheetData>
  <mergeCells count="3">
    <mergeCell ref="A2:F2"/>
    <mergeCell ref="A16:F16"/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35"/>
  <sheetViews>
    <sheetView showGridLines="0" topLeftCell="B1" workbookViewId="0">
      <selection activeCell="G22" sqref="G22"/>
    </sheetView>
  </sheetViews>
  <sheetFormatPr baseColWidth="10" defaultColWidth="8.83203125" defaultRowHeight="15" x14ac:dyDescent="0.2"/>
  <cols>
    <col min="1" max="1" width="2" customWidth="1"/>
    <col min="2" max="2" width="7" customWidth="1"/>
    <col min="3" max="3" width="26" customWidth="1"/>
    <col min="4" max="4" width="14" customWidth="1"/>
    <col min="5" max="5" width="10" customWidth="1"/>
    <col min="6" max="8" width="12" customWidth="1"/>
    <col min="9" max="9" width="14" customWidth="1"/>
    <col min="10" max="10" width="7" bestFit="1" customWidth="1"/>
    <col min="11" max="20" width="8" customWidth="1"/>
  </cols>
  <sheetData>
    <row r="2" spans="2:18" ht="26" customHeight="1" x14ac:dyDescent="0.2">
      <c r="B2" s="62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2:18" ht="14" customHeight="1" x14ac:dyDescent="0.2">
      <c r="B3" s="65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</row>
    <row r="5" spans="2:18" ht="20" customHeight="1" x14ac:dyDescent="0.2">
      <c r="B5" s="66" t="s">
        <v>2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</row>
    <row r="6" spans="2:18" ht="30" customHeight="1" x14ac:dyDescent="0.2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45</v>
      </c>
    </row>
    <row r="7" spans="2:18" ht="20" customHeight="1" x14ac:dyDescent="0.2">
      <c r="B7" s="32" t="str">
        <f>Datos!A5</f>
        <v>IG-01</v>
      </c>
      <c r="C7" s="4" t="str">
        <f>Datos!B5</f>
        <v>Diseño Material Gráfico</v>
      </c>
      <c r="D7" s="33" t="str">
        <f>Datos!D5</f>
        <v>% Presup. Ejecutado</v>
      </c>
      <c r="E7" s="34">
        <f>Datos!E5</f>
        <v>1</v>
      </c>
      <c r="F7" s="35">
        <f>IFERROR(LOOKUP(2,1/(Datos!I5:I15&lt;&gt;""),Datos!F5:F15),"—")</f>
        <v>9.0909090900000003E-2</v>
      </c>
      <c r="G7" s="36">
        <f>IFERROR(LOOKUP(2,1/(Datos!I5:I15&lt;&gt;""),Datos!J5:J15),"—")</f>
        <v>0.45</v>
      </c>
      <c r="H7" s="37" cm="1">
        <f t="array" ref="H7">IFERROR(IF(LOOKUP(2,1/(Datos!I5:I15&lt;&gt;""),Datos!K5:K15)="","S/D",LOOKUP(2,1/(Datos!I5:I15&lt;&gt;""),Datos!K5:K15)),"S/D")</f>
        <v>495.00000004949999</v>
      </c>
      <c r="I7" s="32" t="str">
        <f>IFERROR(_xlfn.LET(_xlpm.s,LOOKUP(2,1/(Datos!I5:I15&lt;&gt;""),Datos!L5:L15),IF(_xlpm.s=3,"CUMPLE",IF(_xlpm.s=2,"Observación","Crítico"))),"S/D")</f>
        <v>CUMPLE</v>
      </c>
      <c r="J7" s="11">
        <f>IFERROR(IF(H7="","",IF(H7&gt;=95,3,IF(H7&gt;=80,2,1))),"—")</f>
        <v>3</v>
      </c>
    </row>
    <row r="8" spans="2:18" ht="20" customHeight="1" x14ac:dyDescent="0.2">
      <c r="B8" s="37" t="str">
        <f>Datos!A16</f>
        <v>IG-02</v>
      </c>
      <c r="C8" s="15" t="str">
        <f>Datos!B16</f>
        <v>Ejecución Pauta</v>
      </c>
      <c r="D8" s="38" t="str">
        <f>Datos!D16</f>
        <v>% Presup. Ejecutado</v>
      </c>
      <c r="E8" s="39">
        <f>Datos!E16</f>
        <v>1</v>
      </c>
      <c r="F8" s="35">
        <f>IFERROR(LOOKUP(2,1/(Datos!I16:I26&lt;&gt;""),Datos!F16:F26),"—")</f>
        <v>9.0909090900000003E-2</v>
      </c>
      <c r="G8" s="36">
        <f>IFERROR(LOOKUP(2,1/(Datos!I16:I26&lt;&gt;""),Datos!J16:J26),"—")</f>
        <v>0.57999999999999996</v>
      </c>
      <c r="H8" s="78" cm="1">
        <f t="array" ref="H8">IFERROR(IF(LOOKUP(2,1/(Datos!I16:I26&lt;&gt;""),Datos!K16:K26)="","S/D",LOOKUP(2,1/(Datos!I16:I26&lt;&gt;""),Datos!K16:K26)),"S/D")</f>
        <v>638.00000006380003</v>
      </c>
      <c r="I8" s="37" t="str">
        <f>IFERROR(_xlfn.LET(_xlpm.s,LOOKUP(2,1/(Datos!I16:I26&lt;&gt;""),Datos!L16:L26),IF(_xlpm.s=3,"CUMPLE",IF(_xlpm.s=2,"Observación","Crítico"))),"S/D")</f>
        <v>CUMPLE</v>
      </c>
      <c r="J8" s="11">
        <f t="shared" ref="J8:J16" si="0">IFERROR(IF(H8="","",IF(H8&gt;=95,3,IF(H8&gt;=80,2,1))),"—")</f>
        <v>3</v>
      </c>
    </row>
    <row r="9" spans="2:18" ht="20" customHeight="1" x14ac:dyDescent="0.2">
      <c r="B9" s="32" t="str">
        <f>Datos!A27</f>
        <v>IG-03</v>
      </c>
      <c r="C9" s="4" t="str">
        <f>Datos!B27</f>
        <v>Actividades BTL</v>
      </c>
      <c r="D9" s="33" t="str">
        <f>Datos!D27</f>
        <v>% Presup. Ejecutado</v>
      </c>
      <c r="E9" s="34">
        <f>Datos!E27</f>
        <v>1</v>
      </c>
      <c r="F9" s="35">
        <f>IFERROR(LOOKUP(2,1/(Datos!I27:I37&lt;&gt;""),Datos!F27:F37),"—")</f>
        <v>9.0909090900000003E-2</v>
      </c>
      <c r="G9" s="36">
        <f>IFERROR(LOOKUP(2,1/(Datos!I27:I37&lt;&gt;""),Datos!J27:J37),"—")</f>
        <v>0.62</v>
      </c>
      <c r="H9" s="78" cm="1">
        <f t="array" ref="H9">IFERROR(IF(LOOKUP(2,1/(Datos!I27:I37&lt;&gt;""),Datos!K27:K37)="","S/D",LOOKUP(2,1/(Datos!I27:I37&lt;&gt;""),Datos!K27:K37)),"S/D")</f>
        <v>682.00000006819994</v>
      </c>
      <c r="I9" s="32" t="str">
        <f>IFERROR(_xlfn.LET(_xlpm.s,LOOKUP(2,1/(Datos!I27:I37&lt;&gt;""),Datos!L27:L37),IF(_xlpm.s=3,"CUMPLE",IF(_xlpm.s=2,"Observación","Crítico"))),"S/D")</f>
        <v>CUMPLE</v>
      </c>
      <c r="J9" s="11">
        <f t="shared" si="0"/>
        <v>3</v>
      </c>
    </row>
    <row r="10" spans="2:18" ht="20" customHeight="1" x14ac:dyDescent="0.2">
      <c r="B10" s="37" t="str">
        <f>Datos!A38</f>
        <v>IG-04</v>
      </c>
      <c r="C10" s="15" t="str">
        <f>Datos!B38</f>
        <v>Material Promocional POP</v>
      </c>
      <c r="D10" s="38" t="str">
        <f>Datos!D38</f>
        <v>% Presup. Ejecutado</v>
      </c>
      <c r="E10" s="39">
        <f>Datos!E38</f>
        <v>1</v>
      </c>
      <c r="F10" s="35">
        <f>IFERROR(LOOKUP(2,1/(Datos!I38:I48&lt;&gt;""),Datos!F38:F48),"—")</f>
        <v>9.0909090900000003E-2</v>
      </c>
      <c r="G10" s="36">
        <f>IFERROR(LOOKUP(2,1/(Datos!I38:I48&lt;&gt;""),Datos!J38:J48),"—")</f>
        <v>0.31</v>
      </c>
      <c r="H10" s="37" cm="1">
        <f t="array" ref="H10">IFERROR(IF(LOOKUP(2,1/(Datos!I38:I48&lt;&gt;""),Datos!K38:K48)="","S/D",LOOKUP(2,1/(Datos!I38:I48&lt;&gt;""),Datos!K38:K48)),"S/D")</f>
        <v>341.00000003409997</v>
      </c>
      <c r="I10" s="37" t="str">
        <f>IFERROR(_xlfn.LET(_xlpm.s,LOOKUP(2,1/(Datos!I38:I48&lt;&gt;""),Datos!L38:L48),IF(_xlpm.s=3,"CUMPLE",IF(_xlpm.s=2,"Observación","Crítico"))),"S/D")</f>
        <v>CUMPLE</v>
      </c>
      <c r="J10" s="11">
        <f t="shared" si="0"/>
        <v>3</v>
      </c>
    </row>
    <row r="11" spans="2:18" ht="20" customHeight="1" x14ac:dyDescent="0.2">
      <c r="B11" s="32" t="str">
        <f>Datos!A49</f>
        <v>IG-05</v>
      </c>
      <c r="C11" s="4" t="str">
        <f>Datos!B49</f>
        <v>Viajes de Familiarización</v>
      </c>
      <c r="D11" s="33" t="str">
        <f>Datos!D49</f>
        <v>% Presup. Ejecutado</v>
      </c>
      <c r="E11" s="34">
        <f>Datos!E49</f>
        <v>1</v>
      </c>
      <c r="F11" s="35">
        <f>IFERROR(LOOKUP(2,1/(Datos!I49:I59&lt;&gt;""),Datos!F49:F59),"—")</f>
        <v>9.0909090900000003E-2</v>
      </c>
      <c r="G11" s="36">
        <f>IFERROR(LOOKUP(2,1/(Datos!I49:I59&lt;&gt;""),Datos!J49:J59),"—")</f>
        <v>0.14000000000000001</v>
      </c>
      <c r="H11" s="37" cm="1">
        <f t="array" ref="H11">IFERROR(IF(LOOKUP(2,1/(Datos!I49:I59&lt;&gt;""),Datos!K49:K59)="","S/D",LOOKUP(2,1/(Datos!I49:I59&lt;&gt;""),Datos!K49:K59)),"S/D")</f>
        <v>154.00000001540002</v>
      </c>
      <c r="I11" s="32" t="str">
        <f>IFERROR(_xlfn.LET(_xlpm.s,LOOKUP(2,1/(Datos!I49:I59&lt;&gt;""),Datos!L49:L59),IF(_xlpm.s=3,"CUMPLE",IF(_xlpm.s=2,"Observación","Crítico"))),"S/D")</f>
        <v>CUMPLE</v>
      </c>
      <c r="J11" s="11">
        <f t="shared" si="0"/>
        <v>3</v>
      </c>
    </row>
    <row r="12" spans="2:18" ht="20" customHeight="1" x14ac:dyDescent="0.2">
      <c r="B12" s="37" t="str">
        <f>Datos!A60</f>
        <v>IG-06</v>
      </c>
      <c r="C12" s="15" t="str">
        <f>Datos!B60</f>
        <v>Embajadores de Marca</v>
      </c>
      <c r="D12" s="38" t="str">
        <f>Datos!D60</f>
        <v>Emb. Vinculados / 6</v>
      </c>
      <c r="E12" s="39">
        <f>Datos!E60</f>
        <v>1</v>
      </c>
      <c r="F12" s="35">
        <f>IFERROR(LOOKUP(2,1/(Datos!I60:I70&lt;&gt;""),Datos!F60:F70),"—")</f>
        <v>9.0909090900000003E-2</v>
      </c>
      <c r="G12" s="36">
        <f>IFERROR(LOOKUP(2,1/(Datos!I60:I70&lt;&gt;""),Datos!J60:J70),"—")</f>
        <v>0</v>
      </c>
      <c r="H12" s="37" cm="1">
        <f t="array" ref="H12">IFERROR(IF(LOOKUP(2,1/(Datos!I60:I70&lt;&gt;""),Datos!K60:K70)="","S/D",LOOKUP(2,1/(Datos!I60:I70&lt;&gt;""),Datos!K60:K70)),"S/D")</f>
        <v>0</v>
      </c>
      <c r="I12" s="37" t="str">
        <f>IFERROR(_xlfn.LET(_xlpm.s,LOOKUP(2,1/(Datos!I60:I70&lt;&gt;""),Datos!L60:L70),IF(_xlpm.s=3,"CUMPLE",IF(_xlpm.s=2,"Observación","Crítico"))),"S/D")</f>
        <v>Crítico</v>
      </c>
      <c r="J12" s="11">
        <f t="shared" si="0"/>
        <v>1</v>
      </c>
    </row>
    <row r="13" spans="2:18" ht="20" customHeight="1" x14ac:dyDescent="0.2">
      <c r="B13" s="32" t="str">
        <f>Datos!A71</f>
        <v>IG-07</v>
      </c>
      <c r="C13" s="4" t="str">
        <f>Datos!B71</f>
        <v>Plataforma IA</v>
      </c>
      <c r="D13" s="33" t="str">
        <f>Datos!D71</f>
        <v>% Avance desarrollo</v>
      </c>
      <c r="E13" s="34">
        <f>Datos!E71</f>
        <v>1</v>
      </c>
      <c r="F13" s="35">
        <f>IFERROR(LOOKUP(2,1/(Datos!I71:I81&lt;&gt;""),Datos!F71:F81),"—")</f>
        <v>9.0909090900000003E-2</v>
      </c>
      <c r="G13" s="36">
        <f>IFERROR(LOOKUP(2,1/(Datos!I71:I81&lt;&gt;""),Datos!J71:J81),"—")</f>
        <v>0</v>
      </c>
      <c r="H13" s="37" cm="1">
        <f t="array" ref="H13">IFERROR(IF(LOOKUP(2,1/(Datos!I71:I81&lt;&gt;""),Datos!K71:K81)="","S/D",LOOKUP(2,1/(Datos!I71:I81&lt;&gt;""),Datos!K71:K81)),"S/D")</f>
        <v>0</v>
      </c>
      <c r="I13" s="32" t="str">
        <f>IFERROR(_xlfn.LET(_xlpm.s,LOOKUP(2,1/(Datos!I71:I81&lt;&gt;""),Datos!L71:L81),IF(_xlpm.s=3,"CUMPLE",IF(_xlpm.s=2,"Observación","Crítico"))),"S/D")</f>
        <v>Crítico</v>
      </c>
      <c r="J13" s="11">
        <f t="shared" si="0"/>
        <v>1</v>
      </c>
    </row>
    <row r="14" spans="2:18" ht="20" customHeight="1" x14ac:dyDescent="0.2">
      <c r="B14" s="37" t="str">
        <f>Datos!A82</f>
        <v>IG-08</v>
      </c>
      <c r="C14" s="15" t="str">
        <f>Datos!B82</f>
        <v>Macro Ruedas de Negocio</v>
      </c>
      <c r="D14" s="38" t="str">
        <f>Datos!D82</f>
        <v>Eventos Realizados / 6</v>
      </c>
      <c r="E14" s="39">
        <f>Datos!E82</f>
        <v>1</v>
      </c>
      <c r="F14" s="35">
        <f>IFERROR(LOOKUP(2,1/(Datos!I82:I92&lt;&gt;""),Datos!F82:F92),"—")</f>
        <v>9.0909090900000003E-2</v>
      </c>
      <c r="G14" s="36">
        <f>IFERROR(LOOKUP(2,1/(Datos!I82:I92&lt;&gt;""),Datos!J82:J92),"—")</f>
        <v>0</v>
      </c>
      <c r="H14" s="37" cm="1">
        <f t="array" ref="H14">IFERROR(IF(LOOKUP(2,1/(Datos!I82:I92&lt;&gt;""),Datos!K82:K92)="","S/D",LOOKUP(2,1/(Datos!I82:I92&lt;&gt;""),Datos!K82:K92)),"S/D")</f>
        <v>0</v>
      </c>
      <c r="I14" s="37" t="str">
        <f>IFERROR(_xlfn.LET(_xlpm.s,LOOKUP(2,1/(Datos!I82:I92&lt;&gt;""),Datos!L82:L92),IF(_xlpm.s=3,"CUMPLE",IF(_xlpm.s=2,"Observación","Crítico"))),"S/D")</f>
        <v>Crítico</v>
      </c>
      <c r="J14" s="11">
        <f t="shared" si="0"/>
        <v>1</v>
      </c>
    </row>
    <row r="15" spans="2:18" ht="20" customHeight="1" x14ac:dyDescent="0.2">
      <c r="B15" s="32" t="str">
        <f>Datos!A93</f>
        <v>IG-09</v>
      </c>
      <c r="C15" s="4" t="str">
        <f>Datos!B93</f>
        <v>Estudio de Impacto</v>
      </c>
      <c r="D15" s="33" t="str">
        <f>Datos!D93</f>
        <v>% Etapas completadas</v>
      </c>
      <c r="E15" s="34">
        <f>Datos!E93</f>
        <v>1</v>
      </c>
      <c r="F15" s="35">
        <f>IFERROR(LOOKUP(2,1/(Datos!I93:I103&lt;&gt;""),Datos!F93:F103),"—")</f>
        <v>9.0909090900000003E-2</v>
      </c>
      <c r="G15" s="36">
        <f>IFERROR(LOOKUP(2,1/(Datos!I93:I103&lt;&gt;""),Datos!J93:J103),"—")</f>
        <v>0</v>
      </c>
      <c r="H15" s="37" cm="1">
        <f t="array" ref="H15">IFERROR(IF(LOOKUP(2,1/(Datos!I93:I103&lt;&gt;""),Datos!K93:K103)="","S/D",LOOKUP(2,1/(Datos!I93:I103&lt;&gt;""),Datos!K93:K103)),"S/D")</f>
        <v>0</v>
      </c>
      <c r="I15" s="32" t="str">
        <f>IFERROR(_xlfn.LET(_xlpm.s,LOOKUP(2,1/(Datos!I93:I103&lt;&gt;""),Datos!L93:L103),IF(_xlpm.s=3,"CUMPLE",IF(_xlpm.s=2,"Observación","Crítico"))),"S/D")</f>
        <v>Crítico</v>
      </c>
      <c r="J15" s="11">
        <f t="shared" si="0"/>
        <v>1</v>
      </c>
    </row>
    <row r="16" spans="2:18" ht="20" customHeight="1" x14ac:dyDescent="0.2">
      <c r="B16" s="37" t="str">
        <f>Datos!A104</f>
        <v>IG-10</v>
      </c>
      <c r="C16" s="15" t="str">
        <f>Datos!B104</f>
        <v>Personal de Seguimiento</v>
      </c>
      <c r="D16" s="38" t="str">
        <f>Datos!D104</f>
        <v>Informes Aprobados / 11</v>
      </c>
      <c r="E16" s="39">
        <f>Datos!E104</f>
        <v>1</v>
      </c>
      <c r="F16" s="35">
        <f>IFERROR(LOOKUP(2,1/(Datos!I104:I114&lt;&gt;""),Datos!F104:F114),"—")</f>
        <v>9.0909090900000003E-2</v>
      </c>
      <c r="G16" s="36">
        <f>IFERROR(LOOKUP(2,1/(Datos!I104:I114&lt;&gt;""),Datos!J104:J114),"—")</f>
        <v>9.0909090900000003E-2</v>
      </c>
      <c r="H16" s="37" cm="1">
        <f t="array" ref="H16">IFERROR(IF(LOOKUP(2,1/(Datos!I104:I114&lt;&gt;""),Datos!K104:K114)="","S/D",LOOKUP(2,1/(Datos!I104:I114&lt;&gt;""),Datos!K104:K114)),"S/D")</f>
        <v>100</v>
      </c>
      <c r="I16" s="37" t="str">
        <f>IFERROR(_xlfn.LET(_xlpm.s,LOOKUP(2,1/(Datos!I104:I114&lt;&gt;""),Datos!L104:L114),IF(_xlpm.s=3,"CUMPLE",IF(_xlpm.s=2,"Observación","Crítico"))),"S/D")</f>
        <v>CUMPLE</v>
      </c>
      <c r="J16" s="11">
        <f t="shared" si="0"/>
        <v>3</v>
      </c>
    </row>
    <row r="19" spans="2:18" ht="20" customHeight="1" x14ac:dyDescent="0.2">
      <c r="B19" s="67" t="s">
        <v>11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</row>
    <row r="20" spans="2:18" ht="20" customHeight="1" x14ac:dyDescent="0.2">
      <c r="B20" s="1" t="s">
        <v>12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20</v>
      </c>
      <c r="K20" s="1" t="s">
        <v>21</v>
      </c>
      <c r="L20" s="1" t="s">
        <v>22</v>
      </c>
      <c r="M20" s="1" t="s">
        <v>23</v>
      </c>
      <c r="N20" s="1" t="s">
        <v>24</v>
      </c>
    </row>
    <row r="21" spans="2:18" ht="17" customHeight="1" x14ac:dyDescent="0.2">
      <c r="B21" s="1" t="s">
        <v>25</v>
      </c>
      <c r="C21" s="40">
        <f>IF(Datos!C121="","",Datos!C121)</f>
        <v>0.06</v>
      </c>
      <c r="D21" s="40">
        <f>IF(Datos!C122="","",Datos!C122)</f>
        <v>0.14000000000000001</v>
      </c>
      <c r="E21" s="40">
        <f>IF(Datos!C123="","",Datos!C123)</f>
        <v>0.24</v>
      </c>
      <c r="F21" s="40">
        <f>IF(Datos!C124="","",Datos!C124)</f>
        <v>0.36</v>
      </c>
      <c r="G21" s="40">
        <f>IF(Datos!C125="","",Datos!C125)</f>
        <v>0.48</v>
      </c>
      <c r="H21" s="40">
        <f>IF(Datos!C126="","",Datos!C126)</f>
        <v>0.59</v>
      </c>
      <c r="I21" s="40">
        <f>IF(Datos!C127="","",Datos!C127)</f>
        <v>0.7</v>
      </c>
      <c r="J21" s="40">
        <f>IF(Datos!C128="","",Datos!C128)</f>
        <v>0.8</v>
      </c>
      <c r="K21" s="40">
        <f>IF(Datos!C129="","",Datos!C129)</f>
        <v>0.88</v>
      </c>
      <c r="L21" s="40">
        <f>IF(Datos!C130="","",Datos!C130)</f>
        <v>0.95</v>
      </c>
      <c r="M21" s="40">
        <f>IF(Datos!C131="","",Datos!C131)</f>
        <v>1</v>
      </c>
      <c r="N21" s="41" t="s">
        <v>26</v>
      </c>
    </row>
    <row r="22" spans="2:18" ht="17" customHeight="1" x14ac:dyDescent="0.2">
      <c r="B22" s="1" t="s">
        <v>27</v>
      </c>
      <c r="C22" s="42">
        <f>IF(Datos!D121="","",Datos!D121)</f>
        <v>6.6699999999999995E-2</v>
      </c>
      <c r="D22" s="42">
        <f>IF(Datos!D122="","",Datos!D122)</f>
        <v>0.1326</v>
      </c>
      <c r="E22" s="42">
        <f>IF(Datos!D123="","",Datos!D123)</f>
        <v>0.33069999999999999</v>
      </c>
      <c r="F22" s="42">
        <f>IF(Datos!D124="","",Datos!D124)</f>
        <v>0.35399999999999998</v>
      </c>
      <c r="G22" s="42">
        <f>IF(Datos!D125="","",Datos!D125)</f>
        <v>0.39800000000000002</v>
      </c>
      <c r="H22" s="42" t="str">
        <f>IF(Datos!D126="","",Datos!D126)</f>
        <v/>
      </c>
      <c r="I22" s="42" t="str">
        <f>IF(Datos!D127="","",Datos!D127)</f>
        <v/>
      </c>
      <c r="J22" s="42" t="str">
        <f>IF(Datos!D128="","",Datos!D128)</f>
        <v/>
      </c>
      <c r="K22" s="42" t="str">
        <f>IF(Datos!D129="","",Datos!D129)</f>
        <v/>
      </c>
      <c r="L22" s="42" t="str">
        <f>IF(Datos!D130="","",Datos!D130)</f>
        <v/>
      </c>
      <c r="M22" s="42" t="str">
        <f>IF(Datos!D131="","",Datos!D131)</f>
        <v/>
      </c>
      <c r="N22" s="43" t="s">
        <v>26</v>
      </c>
    </row>
    <row r="23" spans="2:18" ht="17" customHeight="1" x14ac:dyDescent="0.2">
      <c r="B23" s="1" t="s">
        <v>28</v>
      </c>
      <c r="C23" s="44">
        <f>IF(Datos!E121="","",Datos!E121)</f>
        <v>6.6999999999999976E-3</v>
      </c>
      <c r="D23" s="44">
        <f>IF(Datos!E122="","",Datos!E122)</f>
        <v>-7.4000000000000177E-3</v>
      </c>
      <c r="E23" s="44">
        <f>IF(Datos!E123="","",Datos!E123)</f>
        <v>9.0700000000000003E-2</v>
      </c>
      <c r="F23" s="44">
        <f>IF(Datos!E124="","",Datos!E124)</f>
        <v>-6.0000000000000053E-3</v>
      </c>
      <c r="G23" s="44">
        <f>IF(Datos!E125="","",Datos!E125)</f>
        <v>-8.1999999999999962E-2</v>
      </c>
      <c r="H23" s="44" t="str">
        <f>IF(Datos!E126="","",Datos!E126)</f>
        <v/>
      </c>
      <c r="I23" s="44" t="str">
        <f>IF(Datos!E127="","",Datos!E127)</f>
        <v/>
      </c>
      <c r="J23" s="44" t="str">
        <f>IF(Datos!E128="","",Datos!E128)</f>
        <v/>
      </c>
      <c r="K23" s="44" t="str">
        <f>IF(Datos!E129="","",Datos!E129)</f>
        <v/>
      </c>
      <c r="L23" s="44" t="str">
        <f>IF(Datos!E130="","",Datos!E130)</f>
        <v/>
      </c>
      <c r="M23" s="44" t="str">
        <f>IF(Datos!E131="","",Datos!E131)</f>
        <v/>
      </c>
      <c r="N23" s="45" t="s">
        <v>26</v>
      </c>
    </row>
    <row r="25" spans="2:18" ht="20" customHeight="1" x14ac:dyDescent="0.2">
      <c r="B25" s="64" t="s">
        <v>29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</row>
    <row r="26" spans="2:18" ht="20" customHeight="1" x14ac:dyDescent="0.2">
      <c r="B26" s="1" t="s">
        <v>3</v>
      </c>
      <c r="C26" s="1" t="s">
        <v>30</v>
      </c>
      <c r="D26" s="1" t="s">
        <v>5</v>
      </c>
      <c r="E26" s="1" t="s">
        <v>31</v>
      </c>
      <c r="F26" s="1" t="s">
        <v>8</v>
      </c>
      <c r="G26" s="1" t="s">
        <v>32</v>
      </c>
    </row>
    <row r="27" spans="2:18" ht="20" customHeight="1" x14ac:dyDescent="0.2">
      <c r="B27" s="33" t="str">
        <f>Datos!A136</f>
        <v>IR-01</v>
      </c>
      <c r="C27" s="4" t="str">
        <f>Datos!B136</f>
        <v>Alcance e Impacto en Medios</v>
      </c>
      <c r="D27" s="33" t="str">
        <f>Datos!D136</f>
        <v>N° impactos digitales y ATL</v>
      </c>
      <c r="E27" s="46">
        <f>Datos!E136</f>
        <v>135000000</v>
      </c>
      <c r="F27" s="47">
        <f>Datos!I146</f>
        <v>0</v>
      </c>
      <c r="G27" s="48" t="str">
        <f>Datos!J146</f>
        <v/>
      </c>
    </row>
    <row r="28" spans="2:18" ht="20" customHeight="1" x14ac:dyDescent="0.2">
      <c r="B28" s="38" t="str">
        <f>Datos!A147</f>
        <v>IR-02</v>
      </c>
      <c r="C28" s="15" t="str">
        <f>Datos!B147</f>
        <v>Generación de Oportunidades Comerciales</v>
      </c>
      <c r="D28" s="38" t="str">
        <f>Datos!D147</f>
        <v>N° expectativas de negocio</v>
      </c>
      <c r="E28" s="49">
        <f>Datos!E147</f>
        <v>1200</v>
      </c>
      <c r="F28" s="47">
        <f>Datos!I157</f>
        <v>0</v>
      </c>
      <c r="G28" s="48" t="str">
        <f>Datos!J157</f>
        <v/>
      </c>
    </row>
    <row r="29" spans="2:18" ht="20" customHeight="1" x14ac:dyDescent="0.2">
      <c r="B29" s="33" t="str">
        <f>Datos!A158</f>
        <v>IR-03</v>
      </c>
      <c r="C29" s="4" t="str">
        <f>Datos!B158</f>
        <v>Medición de Impacto de Campaña</v>
      </c>
      <c r="D29" s="33" t="str">
        <f>Datos!D158</f>
        <v>N° estudios realizados</v>
      </c>
      <c r="E29" s="46">
        <f>Datos!E158</f>
        <v>1</v>
      </c>
      <c r="F29" s="47">
        <f>Datos!I168</f>
        <v>0</v>
      </c>
      <c r="G29" s="48" t="str">
        <f>Datos!J168</f>
        <v/>
      </c>
    </row>
    <row r="30" spans="2:18" ht="20" customHeight="1" x14ac:dyDescent="0.2">
      <c r="B30" s="38" t="str">
        <f>Datos!A169</f>
        <v>IR-04</v>
      </c>
      <c r="C30" s="15" t="str">
        <f>Datos!B169</f>
        <v>Implementación Tecnológica (IA)</v>
      </c>
      <c r="D30" s="38" t="str">
        <f>Datos!D169</f>
        <v>N° plataformas operativas</v>
      </c>
      <c r="E30" s="49">
        <f>Datos!E169</f>
        <v>1</v>
      </c>
      <c r="F30" s="47">
        <f>Datos!I179</f>
        <v>0</v>
      </c>
      <c r="G30" s="48" t="str">
        <f>Datos!J179</f>
        <v/>
      </c>
    </row>
    <row r="33" spans="2:18" ht="13" customHeight="1" x14ac:dyDescent="0.2">
      <c r="B33" s="63" t="s">
        <v>33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</row>
    <row r="34" spans="2:18" ht="16" customHeight="1" x14ac:dyDescent="0.2">
      <c r="B34" s="61" t="s">
        <v>34</v>
      </c>
      <c r="C34" s="58"/>
      <c r="D34" s="58"/>
      <c r="E34" s="58"/>
      <c r="F34" s="58"/>
      <c r="G34" s="59" t="s">
        <v>35</v>
      </c>
      <c r="H34" s="58"/>
      <c r="I34" s="58"/>
      <c r="J34" s="58"/>
      <c r="K34" s="58"/>
      <c r="L34" s="57" t="s">
        <v>36</v>
      </c>
      <c r="M34" s="58"/>
      <c r="N34" s="58"/>
      <c r="O34" s="58"/>
      <c r="P34" s="58"/>
    </row>
    <row r="35" spans="2:18" ht="20" customHeight="1" x14ac:dyDescent="0.2">
      <c r="B35" s="60" t="s">
        <v>37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</row>
  </sheetData>
  <mergeCells count="10">
    <mergeCell ref="L34:P34"/>
    <mergeCell ref="G34:K34"/>
    <mergeCell ref="B35:R35"/>
    <mergeCell ref="B34:F34"/>
    <mergeCell ref="B2:R2"/>
    <mergeCell ref="B33:R33"/>
    <mergeCell ref="B25:R25"/>
    <mergeCell ref="B3:R3"/>
    <mergeCell ref="B5:R5"/>
    <mergeCell ref="B19:R19"/>
  </mergeCells>
  <conditionalFormatting sqref="J7:J16">
    <cfRule type="iconSet" priority="1">
      <iconSet iconSet="3Symbols" showValue="0">
        <cfvo type="percent" val="0"/>
        <cfvo type="percent" val="80"/>
        <cfvo type="percent" val="94"/>
      </iconSet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workbookViewId="0"/>
  </sheetViews>
  <sheetFormatPr baseColWidth="10" defaultColWidth="8.83203125" defaultRowHeight="15" x14ac:dyDescent="0.2"/>
  <cols>
    <col min="1" max="1" width="5" customWidth="1"/>
    <col min="2" max="2" width="10" customWidth="1"/>
    <col min="3" max="3" width="48" customWidth="1"/>
    <col min="4" max="4" width="14" customWidth="1"/>
    <col min="5" max="5" width="46" customWidth="1"/>
    <col min="6" max="6" width="22" customWidth="1"/>
    <col min="7" max="7" width="12" customWidth="1"/>
  </cols>
  <sheetData>
    <row r="1" spans="1:7" ht="24" customHeight="1" x14ac:dyDescent="0.2">
      <c r="A1" s="77" t="s">
        <v>133</v>
      </c>
      <c r="B1" s="58"/>
      <c r="C1" s="58"/>
      <c r="D1" s="58"/>
      <c r="E1" s="58"/>
      <c r="F1" s="58"/>
      <c r="G1" s="58"/>
    </row>
    <row r="2" spans="1:7" ht="20" customHeight="1" x14ac:dyDescent="0.2">
      <c r="A2" s="1" t="s">
        <v>134</v>
      </c>
      <c r="B2" s="1" t="s">
        <v>42</v>
      </c>
      <c r="C2" s="1" t="s">
        <v>135</v>
      </c>
      <c r="D2" s="1" t="s">
        <v>10</v>
      </c>
      <c r="E2" s="1" t="s">
        <v>136</v>
      </c>
      <c r="F2" s="1" t="s">
        <v>137</v>
      </c>
      <c r="G2" s="1" t="s">
        <v>138</v>
      </c>
    </row>
    <row r="3" spans="1:7" ht="28" customHeight="1" x14ac:dyDescent="0.2">
      <c r="A3" s="5">
        <v>1</v>
      </c>
      <c r="B3" s="5" t="s">
        <v>17</v>
      </c>
      <c r="C3" s="3" t="s">
        <v>139</v>
      </c>
      <c r="D3" s="51" t="s">
        <v>140</v>
      </c>
      <c r="E3" s="3" t="s">
        <v>141</v>
      </c>
      <c r="F3" s="5" t="s">
        <v>142</v>
      </c>
      <c r="G3" s="5"/>
    </row>
    <row r="4" spans="1:7" ht="28" customHeight="1" x14ac:dyDescent="0.2">
      <c r="A4" s="22">
        <v>2</v>
      </c>
      <c r="B4" s="22" t="s">
        <v>17</v>
      </c>
      <c r="C4" s="52" t="s">
        <v>143</v>
      </c>
      <c r="D4" s="50" t="s">
        <v>144</v>
      </c>
      <c r="E4" s="52" t="s">
        <v>145</v>
      </c>
      <c r="F4" s="22" t="s">
        <v>146</v>
      </c>
      <c r="G4" s="22"/>
    </row>
    <row r="5" spans="1:7" ht="28" customHeight="1" x14ac:dyDescent="0.2">
      <c r="A5" s="5">
        <v>3</v>
      </c>
      <c r="B5" s="5" t="s">
        <v>17</v>
      </c>
      <c r="C5" s="3" t="s">
        <v>147</v>
      </c>
      <c r="D5" s="50" t="s">
        <v>144</v>
      </c>
      <c r="E5" s="3" t="s">
        <v>148</v>
      </c>
      <c r="F5" s="5" t="s">
        <v>149</v>
      </c>
      <c r="G5" s="5"/>
    </row>
    <row r="6" spans="1:7" ht="28" customHeight="1" x14ac:dyDescent="0.2">
      <c r="A6" s="22">
        <v>4</v>
      </c>
      <c r="B6" s="22" t="s">
        <v>17</v>
      </c>
      <c r="C6" s="52" t="s">
        <v>150</v>
      </c>
      <c r="D6" s="50" t="s">
        <v>144</v>
      </c>
      <c r="E6" s="52" t="s">
        <v>151</v>
      </c>
      <c r="F6" s="22" t="s">
        <v>152</v>
      </c>
      <c r="G6" s="22" t="s">
        <v>18</v>
      </c>
    </row>
    <row r="7" spans="1:7" ht="22" customHeight="1" x14ac:dyDescent="0.2">
      <c r="A7" s="53"/>
      <c r="B7" s="53"/>
      <c r="C7" s="54"/>
      <c r="D7" s="53"/>
      <c r="E7" s="54"/>
      <c r="F7" s="53"/>
      <c r="G7" s="53"/>
    </row>
    <row r="8" spans="1:7" ht="22" customHeight="1" x14ac:dyDescent="0.2">
      <c r="A8" s="55"/>
      <c r="B8" s="55"/>
      <c r="C8" s="56"/>
      <c r="D8" s="55"/>
      <c r="E8" s="56"/>
      <c r="F8" s="55"/>
      <c r="G8" s="55"/>
    </row>
    <row r="9" spans="1:7" ht="22" customHeight="1" x14ac:dyDescent="0.2">
      <c r="A9" s="53"/>
      <c r="B9" s="53"/>
      <c r="C9" s="54"/>
      <c r="D9" s="53"/>
      <c r="E9" s="54"/>
      <c r="F9" s="53"/>
      <c r="G9" s="53"/>
    </row>
    <row r="10" spans="1:7" ht="22" customHeight="1" x14ac:dyDescent="0.2">
      <c r="A10" s="55"/>
      <c r="B10" s="55"/>
      <c r="C10" s="56"/>
      <c r="D10" s="55"/>
      <c r="E10" s="56"/>
      <c r="F10" s="55"/>
      <c r="G10" s="55"/>
    </row>
    <row r="11" spans="1:7" ht="22" customHeight="1" x14ac:dyDescent="0.2">
      <c r="A11" s="53"/>
      <c r="B11" s="53"/>
      <c r="C11" s="54"/>
      <c r="D11" s="53"/>
      <c r="E11" s="54"/>
      <c r="F11" s="53"/>
      <c r="G11" s="53"/>
    </row>
    <row r="12" spans="1:7" ht="22" customHeight="1" x14ac:dyDescent="0.2">
      <c r="A12" s="55"/>
      <c r="B12" s="55"/>
      <c r="C12" s="56"/>
      <c r="D12" s="55"/>
      <c r="E12" s="56"/>
      <c r="F12" s="55"/>
      <c r="G12" s="55"/>
    </row>
    <row r="13" spans="1:7" ht="22" customHeight="1" x14ac:dyDescent="0.2">
      <c r="A13" s="53"/>
      <c r="B13" s="53"/>
      <c r="C13" s="54"/>
      <c r="D13" s="53"/>
      <c r="E13" s="54"/>
      <c r="F13" s="53"/>
      <c r="G13" s="53"/>
    </row>
    <row r="14" spans="1:7" ht="22" customHeight="1" x14ac:dyDescent="0.2">
      <c r="A14" s="55"/>
      <c r="B14" s="55"/>
      <c r="C14" s="56"/>
      <c r="D14" s="55"/>
      <c r="E14" s="56"/>
      <c r="F14" s="55"/>
      <c r="G14" s="55"/>
    </row>
    <row r="15" spans="1:7" ht="22" customHeight="1" x14ac:dyDescent="0.2">
      <c r="A15" s="53"/>
      <c r="B15" s="53"/>
      <c r="C15" s="54"/>
      <c r="D15" s="53"/>
      <c r="E15" s="54"/>
      <c r="F15" s="53"/>
      <c r="G15" s="53"/>
    </row>
    <row r="16" spans="1:7" ht="22" customHeight="1" x14ac:dyDescent="0.2">
      <c r="A16" s="55"/>
      <c r="B16" s="55"/>
      <c r="C16" s="56"/>
      <c r="D16" s="55"/>
      <c r="E16" s="56"/>
      <c r="F16" s="55"/>
      <c r="G16" s="55"/>
    </row>
    <row r="17" spans="1:7" x14ac:dyDescent="0.2">
      <c r="A17" s="60" t="s">
        <v>153</v>
      </c>
      <c r="B17" s="58"/>
      <c r="C17" s="58"/>
      <c r="D17" s="58"/>
      <c r="E17" s="58"/>
      <c r="F17" s="58"/>
      <c r="G17" s="58"/>
    </row>
  </sheetData>
  <mergeCells count="2"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Curva_S</vt:lpstr>
      <vt:lpstr>Dashboard</vt:lpstr>
      <vt:lpstr>Hallazgos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J Lara A</cp:lastModifiedBy>
  <dcterms:created xsi:type="dcterms:W3CDTF">2026-03-19T14:03:43Z</dcterms:created>
  <dcterms:modified xsi:type="dcterms:W3CDTF">2026-03-19T14:26:09Z</dcterms:modified>
</cp:coreProperties>
</file>